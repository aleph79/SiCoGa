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M:\Karla\"/>
    </mc:Choice>
  </mc:AlternateContent>
  <xr:revisionPtr revIDLastSave="0" documentId="8_{02EC1BA6-44E2-45D5-9915-63B1A586B96B}" xr6:coauthVersionLast="47" xr6:coauthVersionMax="47" xr10:uidLastSave="{00000000-0000-0000-0000-000000000000}"/>
  <bookViews>
    <workbookView xWindow="-108" yWindow="-108" windowWidth="23256" windowHeight="13896" xr2:uid="{6E4AE036-C364-4108-A5ED-FB9804E374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5" i="1" l="1"/>
  <c r="B1" i="1"/>
  <c r="D1" i="1" s="1"/>
  <c r="U5" i="1"/>
  <c r="V5" i="1" s="1"/>
  <c r="R5" i="1"/>
  <c r="N5" i="1"/>
  <c r="H5" i="1"/>
  <c r="AA5" i="1" s="1"/>
  <c r="Y5" i="1" s="1"/>
  <c r="D5" i="1"/>
  <c r="G5" i="1" l="1"/>
  <c r="L5" i="1" s="1"/>
  <c r="AB5" i="1"/>
  <c r="X5" i="1"/>
  <c r="I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Rodríguez</author>
  </authors>
  <commentList>
    <comment ref="D5" authorId="0" shapeId="0" xr:uid="{AF1EBB36-4AC2-4C94-8461-17B2E39C789A}">
      <text>
        <r>
          <rPr>
            <b/>
            <sz val="9"/>
            <color indexed="81"/>
            <rFont val="Tahoma"/>
            <family val="2"/>
          </rPr>
          <t>Jorge Rodríguez:</t>
        </r>
        <r>
          <rPr>
            <sz val="9"/>
            <color indexed="81"/>
            <rFont val="Tahoma"/>
            <family val="2"/>
          </rPr>
          <t xml:space="preserve">
09 enero</t>
        </r>
      </text>
    </comment>
  </commentList>
</comments>
</file>

<file path=xl/sharedStrings.xml><?xml version="1.0" encoding="utf-8"?>
<sst xmlns="http://schemas.openxmlformats.org/spreadsheetml/2006/main" count="37" uniqueCount="35">
  <si>
    <t>GENERALES</t>
  </si>
  <si>
    <t>PROYECCION</t>
  </si>
  <si>
    <t>REIMPLANTES</t>
  </si>
  <si>
    <t>ALIMENTACION</t>
  </si>
  <si>
    <t>DISPONIBILIDAD</t>
  </si>
  <si>
    <t>CORRAL</t>
  </si>
  <si>
    <t>LOTE</t>
  </si>
  <si>
    <t>SEXO</t>
  </si>
  <si>
    <t>INVENTARIO</t>
  </si>
  <si>
    <t>FECHA INICIO</t>
  </si>
  <si>
    <t>PESO INICIO</t>
  </si>
  <si>
    <t>DIAS TRANSCURRIDOS</t>
  </si>
  <si>
    <t>DIAS ENGORDA PROYECTADOS</t>
  </si>
  <si>
    <t>PESO ACTUAL PROYECTADO</t>
  </si>
  <si>
    <t>GDP</t>
  </si>
  <si>
    <t>PESO DE SALIDA</t>
  </si>
  <si>
    <t>PESO ESTIMADO POR RANGO</t>
  </si>
  <si>
    <t>DIAS 1ER REIMP</t>
  </si>
  <si>
    <t>FECHA 1ER REIMP</t>
  </si>
  <si>
    <t>PESO PROMEDIO</t>
  </si>
  <si>
    <t>GDP 1ER REIMPLANTE</t>
  </si>
  <si>
    <t>DIAS 2DO REIMP</t>
  </si>
  <si>
    <t>FECHA 2DO REIMP</t>
  </si>
  <si>
    <t>GDP 2DO REIMPLANTE</t>
  </si>
  <si>
    <t>DIAS EN F1SMELAZA</t>
  </si>
  <si>
    <t>FECHA INICIO TRANSICION F1-1/F3</t>
  </si>
  <si>
    <t>FECHA TERMINO TRANSICION</t>
  </si>
  <si>
    <t>DIAS EN F3</t>
  </si>
  <si>
    <t>FECHA CAMBIO F3Z</t>
  </si>
  <si>
    <t>DIAS EN F3Z</t>
  </si>
  <si>
    <t>RETIRO A VENTA</t>
  </si>
  <si>
    <t>SEMANA</t>
  </si>
  <si>
    <t>HEMBRA</t>
  </si>
  <si>
    <t>CH-419-H</t>
  </si>
  <si>
    <t>FECHA HOY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</si>
</sst>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DFC30"/>
        <bgColor indexed="64"/>
      </patternFill>
    </fill>
    <fill>
      <patternFill patternType="solid">
        <fgColor rgb="FFFF66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14" fontId="1" fillId="6" borderId="4" xfId="0" applyNumberFormat="1" applyFont="1" applyFill="1" applyBorder="1" applyAlignment="1">
      <alignment horizontal="center" vertical="center"/>
    </xf>
    <xf numFmtId="14" fontId="1" fillId="6" borderId="3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14" fontId="1" fillId="6" borderId="8" xfId="0" applyNumberFormat="1" applyFont="1" applyFill="1" applyBorder="1" applyAlignment="1">
      <alignment horizontal="center" vertical="center"/>
    </xf>
    <xf numFmtId="14" fontId="1" fillId="6" borderId="7" xfId="0" applyNumberFormat="1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4" fontId="1" fillId="0" borderId="9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2" fontId="1" fillId="0" borderId="9" xfId="0" applyNumberFormat="1" applyFont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14" fontId="1" fillId="0" borderId="11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8557D-1B61-4048-A314-68D3A37C30FA}">
  <dimension ref="A1:AB5"/>
  <sheetViews>
    <sheetView tabSelected="1" topLeftCell="L1" workbookViewId="0">
      <selection activeCell="X10" sqref="X10"/>
    </sheetView>
  </sheetViews>
  <sheetFormatPr baseColWidth="10" defaultRowHeight="14.4" x14ac:dyDescent="0.3"/>
  <cols>
    <col min="7" max="7" width="16.109375" customWidth="1"/>
    <col min="8" max="8" width="15.6640625" customWidth="1"/>
    <col min="9" max="9" width="14.6640625" customWidth="1"/>
    <col min="23" max="23" width="14.21875" customWidth="1"/>
  </cols>
  <sheetData>
    <row r="1" spans="1:28" x14ac:dyDescent="0.3">
      <c r="A1" s="50" t="s">
        <v>34</v>
      </c>
      <c r="B1" s="51">
        <f ca="1">TODAY()</f>
        <v>46140</v>
      </c>
      <c r="C1" s="50" t="s">
        <v>31</v>
      </c>
      <c r="D1" s="52">
        <f ca="1">WEEKNUM(B1)</f>
        <v>18</v>
      </c>
      <c r="W1" s="53">
        <v>14</v>
      </c>
    </row>
    <row r="2" spans="1:28" x14ac:dyDescent="0.3">
      <c r="A2" s="1" t="s">
        <v>0</v>
      </c>
      <c r="B2" s="2"/>
      <c r="C2" s="2"/>
      <c r="D2" s="3"/>
      <c r="E2" s="4" t="s">
        <v>1</v>
      </c>
      <c r="F2" s="5"/>
      <c r="G2" s="5"/>
      <c r="H2" s="5"/>
      <c r="I2" s="5"/>
      <c r="J2" s="5"/>
      <c r="K2" s="5"/>
      <c r="L2" s="6"/>
      <c r="M2" s="7" t="s">
        <v>2</v>
      </c>
      <c r="N2" s="8"/>
      <c r="O2" s="8"/>
      <c r="P2" s="8"/>
      <c r="Q2" s="8"/>
      <c r="R2" s="8"/>
      <c r="S2" s="8"/>
      <c r="T2" s="9"/>
      <c r="U2" s="10" t="s">
        <v>3</v>
      </c>
      <c r="V2" s="11"/>
      <c r="W2" s="11"/>
      <c r="X2" s="11"/>
      <c r="Y2" s="11"/>
      <c r="Z2" s="12"/>
      <c r="AA2" s="13" t="s">
        <v>4</v>
      </c>
      <c r="AB2" s="14"/>
    </row>
    <row r="3" spans="1:28" x14ac:dyDescent="0.3">
      <c r="A3" s="15"/>
      <c r="B3" s="16"/>
      <c r="C3" s="16"/>
      <c r="D3" s="17"/>
      <c r="E3" s="18"/>
      <c r="F3" s="19"/>
      <c r="G3" s="19"/>
      <c r="H3" s="19"/>
      <c r="I3" s="19"/>
      <c r="J3" s="19"/>
      <c r="K3" s="19"/>
      <c r="L3" s="20"/>
      <c r="M3" s="21"/>
      <c r="N3" s="22"/>
      <c r="O3" s="22"/>
      <c r="P3" s="22"/>
      <c r="Q3" s="22"/>
      <c r="R3" s="22"/>
      <c r="S3" s="22"/>
      <c r="T3" s="23"/>
      <c r="U3" s="24"/>
      <c r="V3" s="25"/>
      <c r="W3" s="25"/>
      <c r="X3" s="25"/>
      <c r="Y3" s="25"/>
      <c r="Z3" s="26"/>
      <c r="AA3" s="27"/>
      <c r="AB3" s="28"/>
    </row>
    <row r="4" spans="1:28" ht="57.6" x14ac:dyDescent="0.3">
      <c r="A4" s="29" t="s">
        <v>5</v>
      </c>
      <c r="B4" s="29" t="s">
        <v>6</v>
      </c>
      <c r="C4" s="29" t="s">
        <v>7</v>
      </c>
      <c r="D4" s="30" t="s">
        <v>8</v>
      </c>
      <c r="E4" s="31" t="s">
        <v>9</v>
      </c>
      <c r="F4" s="29" t="s">
        <v>10</v>
      </c>
      <c r="G4" s="29" t="s">
        <v>11</v>
      </c>
      <c r="H4" s="29" t="s">
        <v>12</v>
      </c>
      <c r="I4" s="29" t="s">
        <v>13</v>
      </c>
      <c r="J4" s="29" t="s">
        <v>14</v>
      </c>
      <c r="K4" s="29" t="s">
        <v>15</v>
      </c>
      <c r="L4" s="30" t="s">
        <v>16</v>
      </c>
      <c r="M4" s="31" t="s">
        <v>17</v>
      </c>
      <c r="N4" s="32" t="s">
        <v>18</v>
      </c>
      <c r="O4" s="33" t="s">
        <v>19</v>
      </c>
      <c r="P4" s="34" t="s">
        <v>20</v>
      </c>
      <c r="Q4" s="29" t="s">
        <v>21</v>
      </c>
      <c r="R4" s="32" t="s">
        <v>22</v>
      </c>
      <c r="S4" s="33" t="s">
        <v>19</v>
      </c>
      <c r="T4" s="35" t="s">
        <v>23</v>
      </c>
      <c r="U4" s="31" t="s">
        <v>24</v>
      </c>
      <c r="V4" s="29" t="s">
        <v>25</v>
      </c>
      <c r="W4" s="29" t="s">
        <v>26</v>
      </c>
      <c r="X4" s="33" t="s">
        <v>27</v>
      </c>
      <c r="Y4" s="32" t="s">
        <v>28</v>
      </c>
      <c r="Z4" s="30" t="s">
        <v>29</v>
      </c>
      <c r="AA4" s="36" t="s">
        <v>30</v>
      </c>
      <c r="AB4" s="30" t="s">
        <v>31</v>
      </c>
    </row>
    <row r="5" spans="1:28" x14ac:dyDescent="0.3">
      <c r="A5" s="37">
        <v>25</v>
      </c>
      <c r="B5" s="48" t="s">
        <v>33</v>
      </c>
      <c r="C5" s="38" t="s">
        <v>32</v>
      </c>
      <c r="D5" s="49">
        <f>1+1+7+1+1+1+2+2+4+8+1+13+1</f>
        <v>43</v>
      </c>
      <c r="E5" s="40">
        <v>46140</v>
      </c>
      <c r="F5" s="38">
        <v>170</v>
      </c>
      <c r="G5" s="38">
        <f ca="1">B1-E5</f>
        <v>0</v>
      </c>
      <c r="H5" s="41">
        <f t="shared" ref="H5" si="0">(K5-F5)/J5</f>
        <v>284.61538461538458</v>
      </c>
      <c r="I5" s="41">
        <f t="shared" ref="I5" ca="1" si="1">F5+(G5*J5)</f>
        <v>170</v>
      </c>
      <c r="J5" s="37">
        <v>1.3</v>
      </c>
      <c r="K5" s="38">
        <v>540</v>
      </c>
      <c r="L5" s="42">
        <f ca="1">F5+(G5*J5)</f>
        <v>170</v>
      </c>
      <c r="M5" s="43">
        <v>60</v>
      </c>
      <c r="N5" s="44">
        <f>E5+M5</f>
        <v>46200</v>
      </c>
      <c r="O5" s="41"/>
      <c r="P5" s="45"/>
      <c r="Q5" s="38">
        <v>120</v>
      </c>
      <c r="R5" s="44">
        <f>E5+Q5</f>
        <v>46260</v>
      </c>
      <c r="S5" s="41"/>
      <c r="T5" s="46"/>
      <c r="U5" s="47">
        <f>(((320-F5)/J5))</f>
        <v>115.38461538461539</v>
      </c>
      <c r="V5" s="44">
        <f>E5+U5</f>
        <v>46255.384615384617</v>
      </c>
      <c r="W5" s="44">
        <f>V5+$W$1</f>
        <v>46269.384615384617</v>
      </c>
      <c r="X5" s="41">
        <f>Y5-V5</f>
        <v>134.23076923076587</v>
      </c>
      <c r="Y5" s="44">
        <f>AA5-Z5</f>
        <v>46389.615384615383</v>
      </c>
      <c r="Z5" s="39">
        <v>35</v>
      </c>
      <c r="AA5" s="40">
        <f>E5+H5</f>
        <v>46424.615384615383</v>
      </c>
      <c r="AB5" s="39">
        <f t="shared" ref="AB5" si="2">_xlfn.ISOWEEKNUM(AA5)</f>
        <v>5</v>
      </c>
    </row>
  </sheetData>
  <mergeCells count="5">
    <mergeCell ref="A2:D3"/>
    <mergeCell ref="E2:L3"/>
    <mergeCell ref="M2:T3"/>
    <mergeCell ref="U2:Z3"/>
    <mergeCell ref="AA2:AB3"/>
  </mergeCells>
  <conditionalFormatting sqref="A2:A5">
    <cfRule type="duplicateValues" dxfId="3" priority="5"/>
  </conditionalFormatting>
  <conditionalFormatting sqref="B2:B5">
    <cfRule type="duplicateValues" dxfId="2" priority="7"/>
  </conditionalFormatting>
  <conditionalFormatting sqref="A1">
    <cfRule type="duplicateValues" dxfId="1" priority="1"/>
  </conditionalFormatting>
  <conditionalFormatting sqref="D1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chamizalcamperos2@outlook.com</dc:creator>
  <cp:lastModifiedBy>chamizalcamperos2@outlook.com</cp:lastModifiedBy>
  <dcterms:created xsi:type="dcterms:W3CDTF">2026-04-28T18:26:17Z</dcterms:created>
  <dcterms:modified xsi:type="dcterms:W3CDTF">2026-04-28T18:33:25Z</dcterms:modified>
</cp:coreProperties>
</file>