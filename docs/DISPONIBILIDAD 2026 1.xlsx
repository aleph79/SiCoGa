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ugoc\Downloads\Requerimiento Chamizal automatizar archivos\"/>
    </mc:Choice>
  </mc:AlternateContent>
  <xr:revisionPtr revIDLastSave="0" documentId="13_ncr:1_{17551C48-14C7-4C0F-934C-C70FE54A287A}" xr6:coauthVersionLast="47" xr6:coauthVersionMax="47" xr10:uidLastSave="{00000000-0000-0000-0000-000000000000}"/>
  <bookViews>
    <workbookView xWindow="-120" yWindow="-120" windowWidth="24240" windowHeight="13140" tabRatio="589" activeTab="1" xr2:uid="{04F944D0-AFA6-4045-98FB-F5C4EFF3B3D0}"/>
  </bookViews>
  <sheets>
    <sheet name="DISPONIBILIDAD" sheetId="1" r:id="rId1"/>
    <sheet name="PROGRAMA REIMPLANTES" sheetId="3" r:id="rId2"/>
    <sheet name="SALIDAS" sheetId="24" r:id="rId3"/>
    <sheet name="PROYECCION 2026" sheetId="30" r:id="rId4"/>
    <sheet name="REPORTES" sheetId="23" r:id="rId5"/>
    <sheet name="REIMPLANTES" sheetId="32" r:id="rId6"/>
    <sheet name="TRANSICIONES" sheetId="15" r:id="rId7"/>
    <sheet name="INVENTARIO GENERAL" sheetId="29" r:id="rId8"/>
  </sheets>
  <definedNames>
    <definedName name="_xlnm._FilterDatabase" localSheetId="0" hidden="1">DISPONIBILIDAD!$A$6:$AB$119</definedName>
    <definedName name="_xlnm._FilterDatabase" localSheetId="2" hidden="1">SALIDAS!$A$2:$D$2</definedName>
    <definedName name="_xlnm.Print_Area" localSheetId="0">DISPONIBILIDAD!$A$3:$AB$6</definedName>
    <definedName name="_xlnm.Print_Titles" localSheetId="0">DISPONIBILIDAD!$6:$6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9" i="1" l="1"/>
  <c r="AB29" i="1"/>
  <c r="W29" i="1"/>
  <c r="T29" i="1"/>
  <c r="R28" i="1"/>
  <c r="P28" i="1"/>
  <c r="N7" i="1"/>
  <c r="N9" i="1"/>
  <c r="C7" i="3"/>
  <c r="E7" i="3" s="1"/>
  <c r="Y12" i="1" l="1"/>
  <c r="X9" i="1"/>
  <c r="D18" i="1" l="1"/>
  <c r="L20" i="15" l="1"/>
  <c r="K20" i="15"/>
  <c r="J20" i="15"/>
  <c r="L19" i="15"/>
  <c r="K19" i="15"/>
  <c r="J19" i="15"/>
  <c r="L18" i="15"/>
  <c r="K18" i="15"/>
  <c r="J18" i="15"/>
  <c r="L17" i="15"/>
  <c r="K17" i="15"/>
  <c r="J17" i="15"/>
  <c r="L16" i="15"/>
  <c r="K16" i="15"/>
  <c r="J16" i="15"/>
  <c r="L15" i="15"/>
  <c r="K15" i="15"/>
  <c r="J15" i="15"/>
  <c r="L14" i="15"/>
  <c r="K14" i="15"/>
  <c r="J14" i="15"/>
  <c r="L9" i="15"/>
  <c r="K9" i="15"/>
  <c r="J9" i="15"/>
  <c r="L8" i="15"/>
  <c r="K8" i="15"/>
  <c r="J8" i="15"/>
  <c r="L7" i="15"/>
  <c r="K7" i="15"/>
  <c r="J7" i="15"/>
  <c r="L6" i="15"/>
  <c r="K6" i="15"/>
  <c r="J6" i="15"/>
  <c r="L5" i="15"/>
  <c r="K5" i="15"/>
  <c r="J5" i="15"/>
  <c r="L4" i="15"/>
  <c r="K4" i="15"/>
  <c r="J4" i="15"/>
  <c r="L3" i="15"/>
  <c r="K3" i="15"/>
  <c r="J3" i="15"/>
  <c r="M20" i="15"/>
  <c r="M19" i="15"/>
  <c r="M18" i="15"/>
  <c r="M17" i="15"/>
  <c r="M16" i="15"/>
  <c r="M15" i="15"/>
  <c r="M14" i="15"/>
  <c r="AA29" i="1"/>
  <c r="AA27" i="1"/>
  <c r="D26" i="1"/>
  <c r="H26" i="1"/>
  <c r="AA26" i="1" s="1"/>
  <c r="N26" i="1"/>
  <c r="R26" i="1"/>
  <c r="U26" i="1"/>
  <c r="W26" i="1"/>
  <c r="AB26" i="1" l="1"/>
  <c r="Y26" i="1"/>
  <c r="X26" i="1" s="1"/>
  <c r="T54" i="1" l="1"/>
  <c r="D94" i="1"/>
  <c r="M8" i="15" l="1"/>
  <c r="M9" i="15"/>
  <c r="M7" i="15"/>
  <c r="D108" i="1" l="1"/>
  <c r="R64" i="1" l="1"/>
  <c r="N64" i="1"/>
  <c r="U64" i="1"/>
  <c r="V64" i="1" s="1"/>
  <c r="W64" i="1" s="1"/>
  <c r="H64" i="1"/>
  <c r="AA64" i="1" s="1"/>
  <c r="D64" i="1"/>
  <c r="Y64" i="1" l="1"/>
  <c r="X64" i="1" s="1"/>
  <c r="AB64" i="1"/>
  <c r="D104" i="1"/>
  <c r="AA31" i="1"/>
  <c r="AB31" i="1" s="1"/>
  <c r="X31" i="1"/>
  <c r="W31" i="1"/>
  <c r="U31" i="1"/>
  <c r="R31" i="1"/>
  <c r="N31" i="1"/>
  <c r="H31" i="1"/>
  <c r="AA17" i="1"/>
  <c r="AB17" i="1" s="1"/>
  <c r="X17" i="1"/>
  <c r="W17" i="1"/>
  <c r="K17" i="1"/>
  <c r="D17" i="1"/>
  <c r="AA41" i="1"/>
  <c r="AB41" i="1" s="1"/>
  <c r="X41" i="1"/>
  <c r="W41" i="1"/>
  <c r="K41" i="1"/>
  <c r="D41" i="1"/>
  <c r="AA39" i="1"/>
  <c r="AB39" i="1" s="1"/>
  <c r="X39" i="1"/>
  <c r="W39" i="1"/>
  <c r="K39" i="1"/>
  <c r="D39" i="1"/>
  <c r="U13" i="1"/>
  <c r="V13" i="1" s="1"/>
  <c r="W13" i="1" s="1"/>
  <c r="R13" i="1"/>
  <c r="N13" i="1"/>
  <c r="H13" i="1"/>
  <c r="AA13" i="1" s="1"/>
  <c r="D13" i="1"/>
  <c r="X7" i="1"/>
  <c r="W7" i="1"/>
  <c r="U7" i="1"/>
  <c r="R7" i="1"/>
  <c r="H7" i="1"/>
  <c r="AA7" i="1" s="1"/>
  <c r="AB7" i="1" s="1"/>
  <c r="D7" i="1"/>
  <c r="AA92" i="1"/>
  <c r="Y92" i="1" s="1"/>
  <c r="X92" i="1" s="1"/>
  <c r="W92" i="1"/>
  <c r="K92" i="1"/>
  <c r="AB92" i="1" l="1"/>
  <c r="AB13" i="1"/>
  <c r="Y13" i="1"/>
  <c r="X13" i="1" s="1"/>
  <c r="D62" i="1" l="1"/>
  <c r="D103" i="1" l="1"/>
  <c r="D102" i="1" l="1"/>
  <c r="R62" i="1" l="1"/>
  <c r="N62" i="1"/>
  <c r="H62" i="1"/>
  <c r="AA62" i="1" s="1"/>
  <c r="AB62" i="1" s="1"/>
  <c r="U62" i="1"/>
  <c r="V62" i="1" s="1"/>
  <c r="W62" i="1" s="1"/>
  <c r="R61" i="1"/>
  <c r="N61" i="1"/>
  <c r="H61" i="1"/>
  <c r="AA61" i="1" s="1"/>
  <c r="U61" i="1"/>
  <c r="V61" i="1" s="1"/>
  <c r="W61" i="1" s="1"/>
  <c r="W30" i="1"/>
  <c r="U30" i="1"/>
  <c r="R30" i="1"/>
  <c r="N30" i="1"/>
  <c r="H30" i="1"/>
  <c r="AA30" i="1" s="1"/>
  <c r="M5" i="15"/>
  <c r="M6" i="15"/>
  <c r="M4" i="15"/>
  <c r="D30" i="1"/>
  <c r="W25" i="1"/>
  <c r="U25" i="1"/>
  <c r="R25" i="1"/>
  <c r="N25" i="1"/>
  <c r="H25" i="1"/>
  <c r="AA25" i="1" s="1"/>
  <c r="D25" i="1"/>
  <c r="D22" i="1"/>
  <c r="M3" i="15"/>
  <c r="AB30" i="1" l="1"/>
  <c r="Y30" i="1"/>
  <c r="X30" i="1" s="1"/>
  <c r="AB25" i="1"/>
  <c r="Y25" i="1"/>
  <c r="X25" i="1" s="1"/>
  <c r="Y61" i="1"/>
  <c r="X61" i="1" s="1"/>
  <c r="AB61" i="1"/>
  <c r="Y62" i="1"/>
  <c r="X62" i="1" s="1"/>
  <c r="D20" i="1"/>
  <c r="AA59" i="1" l="1"/>
  <c r="T84" i="1" l="1"/>
  <c r="P53" i="1"/>
  <c r="P40" i="1"/>
  <c r="D11" i="29" l="1"/>
  <c r="C19" i="29" l="1"/>
  <c r="B19" i="29"/>
  <c r="W59" i="1" l="1"/>
  <c r="U59" i="1"/>
  <c r="H59" i="1"/>
  <c r="D59" i="1"/>
  <c r="AB59" i="1" l="1"/>
  <c r="X59" i="1"/>
  <c r="U48" i="1" l="1"/>
  <c r="V48" i="1" s="1"/>
  <c r="W48" i="1" s="1"/>
  <c r="H48" i="1"/>
  <c r="AA48" i="1" s="1"/>
  <c r="Y48" i="1" s="1"/>
  <c r="D48" i="1"/>
  <c r="AA45" i="1"/>
  <c r="AB45" i="1" s="1"/>
  <c r="X45" i="1"/>
  <c r="W45" i="1"/>
  <c r="U45" i="1"/>
  <c r="N45" i="1"/>
  <c r="H45" i="1"/>
  <c r="W69" i="1"/>
  <c r="U69" i="1"/>
  <c r="H69" i="1"/>
  <c r="AA69" i="1" s="1"/>
  <c r="D69" i="1"/>
  <c r="AA96" i="1"/>
  <c r="AA95" i="1"/>
  <c r="X95" i="1"/>
  <c r="E14" i="24"/>
  <c r="AA37" i="1"/>
  <c r="W37" i="1"/>
  <c r="U37" i="1"/>
  <c r="R37" i="1"/>
  <c r="N37" i="1"/>
  <c r="P37" i="1" s="1"/>
  <c r="H37" i="1"/>
  <c r="D37" i="1"/>
  <c r="E13" i="24"/>
  <c r="AA15" i="1"/>
  <c r="AB15" i="1" s="1"/>
  <c r="X15" i="1"/>
  <c r="W15" i="1"/>
  <c r="U15" i="1"/>
  <c r="N15" i="1"/>
  <c r="H15" i="1"/>
  <c r="D15" i="1"/>
  <c r="X48" i="1" l="1"/>
  <c r="AB48" i="1"/>
  <c r="AB69" i="1"/>
  <c r="Y69" i="1"/>
  <c r="X69" i="1" s="1"/>
  <c r="X37" i="1"/>
  <c r="AB37" i="1"/>
  <c r="P78" i="1" l="1"/>
  <c r="P42" i="1"/>
  <c r="P32" i="1"/>
  <c r="P36" i="1"/>
  <c r="U78" i="1" l="1"/>
  <c r="V78" i="1" s="1"/>
  <c r="W78" i="1" s="1"/>
  <c r="R78" i="1"/>
  <c r="H78" i="1"/>
  <c r="AA78" i="1" s="1"/>
  <c r="U55" i="1"/>
  <c r="V55" i="1" s="1"/>
  <c r="W55" i="1" s="1"/>
  <c r="H55" i="1"/>
  <c r="AA55" i="1" s="1"/>
  <c r="AB55" i="1" s="1"/>
  <c r="D55" i="1"/>
  <c r="W10" i="1"/>
  <c r="U10" i="1"/>
  <c r="N10" i="1"/>
  <c r="H10" i="1"/>
  <c r="AA10" i="1" s="1"/>
  <c r="D10" i="1"/>
  <c r="W12" i="1"/>
  <c r="U12" i="1"/>
  <c r="R12" i="1"/>
  <c r="N12" i="1"/>
  <c r="H12" i="1"/>
  <c r="AA12" i="1" s="1"/>
  <c r="Y78" i="1" l="1"/>
  <c r="X78" i="1" s="1"/>
  <c r="AB78" i="1"/>
  <c r="Y55" i="1"/>
  <c r="X55" i="1" s="1"/>
  <c r="X10" i="1"/>
  <c r="AB10" i="1"/>
  <c r="AB12" i="1"/>
  <c r="X12" i="1"/>
  <c r="B20" i="29" l="1"/>
  <c r="AA90" i="1" l="1"/>
  <c r="AB90" i="1" s="1"/>
  <c r="W90" i="1"/>
  <c r="K90" i="1"/>
  <c r="D90" i="1"/>
  <c r="AA89" i="1"/>
  <c r="Y89" i="1" s="1"/>
  <c r="X89" i="1" s="1"/>
  <c r="W89" i="1"/>
  <c r="K89" i="1"/>
  <c r="D89" i="1"/>
  <c r="Y90" i="1" l="1"/>
  <c r="X90" i="1" s="1"/>
  <c r="AB89" i="1"/>
  <c r="T83" i="1" l="1"/>
  <c r="P74" i="1"/>
  <c r="P70" i="1"/>
  <c r="D52" i="1"/>
  <c r="P52" i="1"/>
  <c r="U86" i="1" l="1"/>
  <c r="V86" i="1" s="1"/>
  <c r="W86" i="1" s="1"/>
  <c r="R86" i="1"/>
  <c r="N86" i="1"/>
  <c r="H86" i="1"/>
  <c r="AA86" i="1" s="1"/>
  <c r="AB86" i="1" s="1"/>
  <c r="D86" i="1"/>
  <c r="Y86" i="1" l="1"/>
  <c r="X86" i="1" s="1"/>
  <c r="D61" i="1" l="1"/>
  <c r="U51" i="1"/>
  <c r="V51" i="1" s="1"/>
  <c r="W51" i="1" s="1"/>
  <c r="H51" i="1"/>
  <c r="AA51" i="1" s="1"/>
  <c r="D51" i="1"/>
  <c r="AA9" i="1"/>
  <c r="U9" i="1"/>
  <c r="V9" i="1" s="1"/>
  <c r="W9" i="1" s="1"/>
  <c r="R9" i="1"/>
  <c r="H9" i="1"/>
  <c r="Y51" i="1" l="1"/>
  <c r="X51" i="1" s="1"/>
  <c r="AB51" i="1"/>
  <c r="AB9" i="1"/>
  <c r="U47" i="1" l="1"/>
  <c r="U27" i="1" l="1"/>
  <c r="V27" i="1" s="1"/>
  <c r="W27" i="1" s="1"/>
  <c r="H27" i="1"/>
  <c r="R29" i="1"/>
  <c r="N29" i="1"/>
  <c r="H29" i="1"/>
  <c r="AB27" i="1" l="1"/>
  <c r="X27" i="1"/>
  <c r="X29" i="1"/>
  <c r="P79" i="1" l="1"/>
  <c r="P47" i="1"/>
  <c r="P46" i="1"/>
  <c r="W28" i="1"/>
  <c r="U28" i="1"/>
  <c r="H28" i="1"/>
  <c r="AA28" i="1" s="1"/>
  <c r="W85" i="1"/>
  <c r="U85" i="1"/>
  <c r="R85" i="1"/>
  <c r="N85" i="1"/>
  <c r="H85" i="1"/>
  <c r="AA85" i="1" s="1"/>
  <c r="Y85" i="1" s="1"/>
  <c r="X85" i="1" s="1"/>
  <c r="D85" i="1"/>
  <c r="U67" i="1"/>
  <c r="V67" i="1" s="1"/>
  <c r="W67" i="1" s="1"/>
  <c r="H67" i="1"/>
  <c r="AA67" i="1" s="1"/>
  <c r="D67" i="1"/>
  <c r="U43" i="1"/>
  <c r="V43" i="1" s="1"/>
  <c r="W43" i="1" s="1"/>
  <c r="H43" i="1"/>
  <c r="AA43" i="1" s="1"/>
  <c r="Y43" i="1" s="1"/>
  <c r="U38" i="1"/>
  <c r="V38" i="1" s="1"/>
  <c r="W38" i="1" s="1"/>
  <c r="R38" i="1"/>
  <c r="N38" i="1"/>
  <c r="H38" i="1"/>
  <c r="AA38" i="1" s="1"/>
  <c r="AB38" i="1" s="1"/>
  <c r="Y28" i="1" l="1"/>
  <c r="X28" i="1" s="1"/>
  <c r="AB28" i="1"/>
  <c r="AB85" i="1"/>
  <c r="AB67" i="1"/>
  <c r="Y67" i="1"/>
  <c r="X67" i="1" s="1"/>
  <c r="AB43" i="1"/>
  <c r="X43" i="1"/>
  <c r="Y38" i="1"/>
  <c r="X38" i="1" s="1"/>
  <c r="N60" i="1" l="1"/>
  <c r="U60" i="1"/>
  <c r="V60" i="1" s="1"/>
  <c r="H60" i="1"/>
  <c r="AA60" i="1" s="1"/>
  <c r="AB60" i="1" s="1"/>
  <c r="Y60" i="1" l="1"/>
  <c r="X60" i="1" s="1"/>
  <c r="W60" i="1"/>
  <c r="U53" i="1"/>
  <c r="V53" i="1" s="1"/>
  <c r="R53" i="1"/>
  <c r="H53" i="1"/>
  <c r="AA53" i="1" s="1"/>
  <c r="AB53" i="1" l="1"/>
  <c r="Y53" i="1"/>
  <c r="X53" i="1" s="1"/>
  <c r="W53" i="1"/>
  <c r="AA93" i="1" l="1"/>
  <c r="AB93" i="1" s="1"/>
  <c r="W93" i="1"/>
  <c r="K93" i="1"/>
  <c r="Y93" i="1" l="1"/>
  <c r="X93" i="1" s="1"/>
  <c r="AA91" i="1"/>
  <c r="Y91" i="1" s="1"/>
  <c r="X91" i="1" s="1"/>
  <c r="W91" i="1"/>
  <c r="K91" i="1"/>
  <c r="AB91" i="1" l="1"/>
  <c r="U65" i="1" l="1"/>
  <c r="V65" i="1" s="1"/>
  <c r="W65" i="1" s="1"/>
  <c r="H65" i="1"/>
  <c r="AA65" i="1" s="1"/>
  <c r="D65" i="1"/>
  <c r="AB65" i="1" l="1"/>
  <c r="Y65" i="1"/>
  <c r="X65" i="1" s="1"/>
  <c r="B21" i="29"/>
  <c r="U94" i="1" l="1"/>
  <c r="AA94" i="1"/>
  <c r="AB94" i="1" s="1"/>
  <c r="W94" i="1"/>
  <c r="K94" i="1"/>
  <c r="Y94" i="1" l="1"/>
  <c r="X94" i="1" s="1"/>
  <c r="D38" i="1" l="1"/>
  <c r="P63" i="1" l="1"/>
  <c r="W58" i="1" l="1"/>
  <c r="U58" i="1"/>
  <c r="H58" i="1"/>
  <c r="AA58" i="1" s="1"/>
  <c r="D58" i="1"/>
  <c r="AB58" i="1" l="1"/>
  <c r="Y58" i="1"/>
  <c r="X58" i="1" s="1"/>
  <c r="E13" i="15" l="1"/>
  <c r="D13" i="15"/>
  <c r="C13" i="15"/>
  <c r="W56" i="1" l="1"/>
  <c r="U56" i="1"/>
  <c r="R56" i="1"/>
  <c r="N56" i="1"/>
  <c r="H56" i="1"/>
  <c r="AA56" i="1" s="1"/>
  <c r="AB56" i="1" s="1"/>
  <c r="D56" i="1"/>
  <c r="Y56" i="1" l="1"/>
  <c r="X56" i="1" s="1"/>
  <c r="D60" i="1" l="1"/>
  <c r="U42" i="1" l="1"/>
  <c r="V42" i="1" s="1"/>
  <c r="W42" i="1" s="1"/>
  <c r="R42" i="1"/>
  <c r="H42" i="1"/>
  <c r="AA42" i="1" s="1"/>
  <c r="D42" i="1"/>
  <c r="U68" i="1"/>
  <c r="V68" i="1" s="1"/>
  <c r="W68" i="1" s="1"/>
  <c r="R68" i="1"/>
  <c r="N68" i="1"/>
  <c r="P68" i="1" s="1"/>
  <c r="H68" i="1"/>
  <c r="AA68" i="1" s="1"/>
  <c r="AB42" i="1" l="1"/>
  <c r="Y42" i="1"/>
  <c r="X42" i="1" s="1"/>
  <c r="AB68" i="1"/>
  <c r="Y68" i="1"/>
  <c r="X68" i="1" s="1"/>
  <c r="U44" i="1" l="1"/>
  <c r="V44" i="1" s="1"/>
  <c r="W44" i="1" s="1"/>
  <c r="R44" i="1"/>
  <c r="N44" i="1"/>
  <c r="P44" i="1" s="1"/>
  <c r="H44" i="1"/>
  <c r="AA44" i="1" s="1"/>
  <c r="D44" i="1"/>
  <c r="U40" i="1"/>
  <c r="V40" i="1" s="1"/>
  <c r="W40" i="1" s="1"/>
  <c r="R40" i="1"/>
  <c r="H40" i="1"/>
  <c r="AA40" i="1" s="1"/>
  <c r="D53" i="1"/>
  <c r="U46" i="1"/>
  <c r="V46" i="1" s="1"/>
  <c r="W46" i="1" s="1"/>
  <c r="H46" i="1"/>
  <c r="AA46" i="1" s="1"/>
  <c r="D46" i="1"/>
  <c r="Y44" i="1" l="1"/>
  <c r="X44" i="1" s="1"/>
  <c r="AB44" i="1"/>
  <c r="AB40" i="1"/>
  <c r="Y40" i="1"/>
  <c r="X40" i="1" s="1"/>
  <c r="AB46" i="1"/>
  <c r="Y46" i="1"/>
  <c r="X46" i="1" s="1"/>
  <c r="V36" i="1" l="1"/>
  <c r="AA98" i="1" l="1"/>
  <c r="AB98" i="1" s="1"/>
  <c r="W98" i="1"/>
  <c r="K98" i="1"/>
  <c r="X96" i="1"/>
  <c r="W96" i="1"/>
  <c r="K96" i="1"/>
  <c r="AB95" i="1"/>
  <c r="W95" i="1"/>
  <c r="K95" i="1"/>
  <c r="X98" i="1" l="1"/>
  <c r="AB96" i="1"/>
  <c r="W36" i="1" l="1"/>
  <c r="R36" i="1"/>
  <c r="H36" i="1"/>
  <c r="AA36" i="1" s="1"/>
  <c r="AB36" i="1" l="1"/>
  <c r="Y36" i="1"/>
  <c r="X36" i="1" s="1"/>
  <c r="P70" i="3" l="1"/>
  <c r="C70" i="3"/>
  <c r="P69" i="3"/>
  <c r="C69" i="3"/>
  <c r="P68" i="3"/>
  <c r="C68" i="3"/>
  <c r="P67" i="3"/>
  <c r="C67" i="3"/>
  <c r="P66" i="3"/>
  <c r="C66" i="3"/>
  <c r="C65" i="3"/>
  <c r="E65" i="3" s="1"/>
  <c r="N65" i="3" s="1"/>
  <c r="P65" i="3" s="1"/>
  <c r="L64" i="3"/>
  <c r="C64" i="3"/>
  <c r="E64" i="3" s="1"/>
  <c r="L63" i="3"/>
  <c r="C63" i="3"/>
  <c r="E63" i="3" s="1"/>
  <c r="N63" i="3" s="1"/>
  <c r="P18" i="3"/>
  <c r="P19" i="3"/>
  <c r="P53" i="3"/>
  <c r="P54" i="3"/>
  <c r="P55" i="3"/>
  <c r="P56" i="3"/>
  <c r="P52" i="3"/>
  <c r="N64" i="3" l="1"/>
  <c r="P63" i="3"/>
  <c r="P64" i="3"/>
  <c r="V47" i="1"/>
  <c r="W47" i="1" s="1"/>
  <c r="R47" i="1"/>
  <c r="H47" i="1"/>
  <c r="AA47" i="1" s="1"/>
  <c r="D47" i="1"/>
  <c r="AB47" i="1" l="1"/>
  <c r="Y47" i="1"/>
  <c r="X47" i="1" s="1"/>
  <c r="D15" i="29" l="1"/>
  <c r="E36" i="15" l="1"/>
  <c r="D36" i="15"/>
  <c r="C36" i="15"/>
  <c r="E35" i="15"/>
  <c r="D35" i="15"/>
  <c r="C35" i="15"/>
  <c r="E34" i="15"/>
  <c r="D34" i="15"/>
  <c r="C34" i="15"/>
  <c r="E33" i="15"/>
  <c r="D33" i="15"/>
  <c r="C33" i="15"/>
  <c r="E32" i="15"/>
  <c r="D32" i="15"/>
  <c r="C32" i="15"/>
  <c r="E31" i="15"/>
  <c r="D31" i="15"/>
  <c r="C31" i="15"/>
  <c r="E30" i="15"/>
  <c r="D30" i="15"/>
  <c r="C30" i="15"/>
  <c r="E29" i="15"/>
  <c r="D29" i="15"/>
  <c r="C29" i="15"/>
  <c r="E28" i="15"/>
  <c r="D28" i="15"/>
  <c r="C28" i="15"/>
  <c r="V34" i="1"/>
  <c r="W34" i="1" s="1"/>
  <c r="R34" i="1"/>
  <c r="N34" i="1"/>
  <c r="H34" i="1"/>
  <c r="AA34" i="1" s="1"/>
  <c r="D34" i="1"/>
  <c r="U32" i="1"/>
  <c r="V32" i="1" s="1"/>
  <c r="W32" i="1" s="1"/>
  <c r="R32" i="1"/>
  <c r="H32" i="1"/>
  <c r="AA32" i="1" s="1"/>
  <c r="U80" i="1"/>
  <c r="V80" i="1" s="1"/>
  <c r="W80" i="1" s="1"/>
  <c r="R80" i="1"/>
  <c r="N80" i="1"/>
  <c r="H80" i="1"/>
  <c r="AA80" i="1" s="1"/>
  <c r="Y80" i="1" s="1"/>
  <c r="U70" i="1"/>
  <c r="V70" i="1" s="1"/>
  <c r="R70" i="1"/>
  <c r="H70" i="1"/>
  <c r="AA70" i="1" s="1"/>
  <c r="D70" i="1"/>
  <c r="U52" i="1"/>
  <c r="V52" i="1" s="1"/>
  <c r="R52" i="1"/>
  <c r="H52" i="1"/>
  <c r="AA52" i="1" s="1"/>
  <c r="AB52" i="1" s="1"/>
  <c r="X80" i="1" l="1"/>
  <c r="AB70" i="1"/>
  <c r="Y70" i="1"/>
  <c r="X70" i="1" s="1"/>
  <c r="Y52" i="1"/>
  <c r="X52" i="1" s="1"/>
  <c r="Y34" i="1"/>
  <c r="X34" i="1" s="1"/>
  <c r="AB34" i="1"/>
  <c r="AB32" i="1"/>
  <c r="Y32" i="1"/>
  <c r="X32" i="1" s="1"/>
  <c r="AB80" i="1"/>
  <c r="W70" i="1"/>
  <c r="W52" i="1"/>
  <c r="C20" i="29" l="1"/>
  <c r="V72" i="1" l="1"/>
  <c r="W72" i="1" s="1"/>
  <c r="D72" i="1"/>
  <c r="R75" i="1"/>
  <c r="D66" i="1" l="1"/>
  <c r="R66" i="1"/>
  <c r="N66" i="1"/>
  <c r="P66" i="1" s="1"/>
  <c r="V75" i="1" l="1"/>
  <c r="N75" i="1"/>
  <c r="P75" i="1" s="1"/>
  <c r="H75" i="1"/>
  <c r="AA75" i="1" s="1"/>
  <c r="D75" i="1"/>
  <c r="V74" i="1"/>
  <c r="W74" i="1" s="1"/>
  <c r="R74" i="1"/>
  <c r="H74" i="1"/>
  <c r="AA74" i="1" s="1"/>
  <c r="D74" i="1"/>
  <c r="N72" i="1"/>
  <c r="H72" i="1"/>
  <c r="AA72" i="1" s="1"/>
  <c r="D76" i="1"/>
  <c r="AB72" i="1" l="1"/>
  <c r="Y72" i="1"/>
  <c r="X72" i="1" s="1"/>
  <c r="AB75" i="1"/>
  <c r="Y75" i="1"/>
  <c r="X75" i="1" s="1"/>
  <c r="AB74" i="1"/>
  <c r="Y74" i="1"/>
  <c r="X74" i="1" s="1"/>
  <c r="W75" i="1"/>
  <c r="V73" i="1"/>
  <c r="P73" i="1"/>
  <c r="H73" i="1"/>
  <c r="AA73" i="1" s="1"/>
  <c r="AB73" i="1" s="1"/>
  <c r="D73" i="1"/>
  <c r="Y73" i="1" l="1"/>
  <c r="X73" i="1" s="1"/>
  <c r="W73" i="1"/>
  <c r="V76" i="1" l="1"/>
  <c r="W76" i="1" s="1"/>
  <c r="N76" i="1"/>
  <c r="H76" i="1"/>
  <c r="AA76" i="1" s="1"/>
  <c r="D82" i="1"/>
  <c r="AB76" i="1" l="1"/>
  <c r="Y76" i="1"/>
  <c r="X76" i="1" s="1"/>
  <c r="U49" i="1" l="1"/>
  <c r="V49" i="1" s="1"/>
  <c r="W49" i="1" s="1"/>
  <c r="R49" i="1"/>
  <c r="N49" i="1"/>
  <c r="H49" i="1"/>
  <c r="AA49" i="1" s="1"/>
  <c r="Y49" i="1" s="1"/>
  <c r="U66" i="1"/>
  <c r="V66" i="1" s="1"/>
  <c r="W66" i="1" s="1"/>
  <c r="H66" i="1"/>
  <c r="AA66" i="1" s="1"/>
  <c r="AB66" i="1" s="1"/>
  <c r="X49" i="1" l="1"/>
  <c r="AB49" i="1"/>
  <c r="Y66" i="1"/>
  <c r="X66" i="1" s="1"/>
  <c r="D1" i="29" l="1"/>
  <c r="D79" i="1" l="1"/>
  <c r="U63" i="1" l="1"/>
  <c r="V63" i="1" s="1"/>
  <c r="R63" i="1"/>
  <c r="H63" i="1"/>
  <c r="AA63" i="1" s="1"/>
  <c r="D63" i="1"/>
  <c r="R79" i="1"/>
  <c r="AB63" i="1" l="1"/>
  <c r="Y63" i="1"/>
  <c r="X63" i="1" s="1"/>
  <c r="W63" i="1"/>
  <c r="E7" i="15" l="1"/>
  <c r="D7" i="15"/>
  <c r="C7" i="15"/>
  <c r="C11" i="15" l="1"/>
  <c r="R77" i="1" l="1"/>
  <c r="N77" i="1"/>
  <c r="D77" i="1"/>
  <c r="H71" i="1" l="1"/>
  <c r="D84" i="1"/>
  <c r="D71" i="1"/>
  <c r="D21" i="29" l="1"/>
  <c r="U50" i="1" l="1"/>
  <c r="D50" i="1"/>
  <c r="U54" i="1" l="1"/>
  <c r="N54" i="1"/>
  <c r="P54" i="1" s="1"/>
  <c r="H54" i="1"/>
  <c r="AA54" i="1" s="1"/>
  <c r="D54" i="1"/>
  <c r="V50" i="1"/>
  <c r="W50" i="1" s="1"/>
  <c r="R50" i="1"/>
  <c r="N50" i="1"/>
  <c r="P50" i="1" s="1"/>
  <c r="H50" i="1"/>
  <c r="AA50" i="1" s="1"/>
  <c r="Y50" i="1" s="1"/>
  <c r="U77" i="1"/>
  <c r="V77" i="1" s="1"/>
  <c r="W77" i="1" s="1"/>
  <c r="H77" i="1"/>
  <c r="AA77" i="1" s="1"/>
  <c r="AB77" i="1" s="1"/>
  <c r="V54" i="1" l="1"/>
  <c r="W54" i="1" s="1"/>
  <c r="X50" i="1"/>
  <c r="AB54" i="1"/>
  <c r="Y54" i="1"/>
  <c r="AB50" i="1"/>
  <c r="Y77" i="1"/>
  <c r="X77" i="1" s="1"/>
  <c r="X54" i="1" l="1"/>
  <c r="G50" i="30"/>
  <c r="U82" i="1"/>
  <c r="V82" i="1" s="1"/>
  <c r="W82" i="1" s="1"/>
  <c r="H82" i="1"/>
  <c r="AA82" i="1" s="1"/>
  <c r="AB82" i="1" s="1"/>
  <c r="U79" i="1"/>
  <c r="V79" i="1" s="1"/>
  <c r="H79" i="1"/>
  <c r="AA79" i="1" s="1"/>
  <c r="AB79" i="1" l="1"/>
  <c r="Y79" i="1"/>
  <c r="X79" i="1" s="1"/>
  <c r="Y82" i="1"/>
  <c r="X82" i="1" s="1"/>
  <c r="W79" i="1"/>
  <c r="P77" i="3" l="1"/>
  <c r="P76" i="3"/>
  <c r="C56" i="3"/>
  <c r="C55" i="3"/>
  <c r="C54" i="3"/>
  <c r="C53" i="3"/>
  <c r="C52" i="3"/>
  <c r="C51" i="3"/>
  <c r="E51" i="3" s="1"/>
  <c r="N51" i="3" s="1"/>
  <c r="P51" i="3" s="1"/>
  <c r="L50" i="3"/>
  <c r="C50" i="3"/>
  <c r="E50" i="3" s="1"/>
  <c r="L49" i="3"/>
  <c r="C49" i="3"/>
  <c r="E49" i="3" s="1"/>
  <c r="N49" i="3" s="1"/>
  <c r="L48" i="3"/>
  <c r="C48" i="3"/>
  <c r="E48" i="3" s="1"/>
  <c r="L47" i="3"/>
  <c r="C47" i="3"/>
  <c r="E47" i="3" s="1"/>
  <c r="L46" i="3"/>
  <c r="C46" i="3"/>
  <c r="E46" i="3" s="1"/>
  <c r="L45" i="3"/>
  <c r="C45" i="3"/>
  <c r="E45" i="3" s="1"/>
  <c r="L44" i="3"/>
  <c r="C44" i="3"/>
  <c r="E44" i="3" s="1"/>
  <c r="C37" i="3"/>
  <c r="C36" i="3"/>
  <c r="E36" i="3" s="1"/>
  <c r="N36" i="3" s="1"/>
  <c r="P36" i="3" s="1"/>
  <c r="C35" i="3"/>
  <c r="E35" i="3" s="1"/>
  <c r="N35" i="3" s="1"/>
  <c r="P35" i="3" s="1"/>
  <c r="C34" i="3"/>
  <c r="C33" i="3"/>
  <c r="C32" i="3"/>
  <c r="L31" i="3"/>
  <c r="C31" i="3"/>
  <c r="L30" i="3"/>
  <c r="C30" i="3"/>
  <c r="L29" i="3"/>
  <c r="C29" i="3"/>
  <c r="L28" i="3"/>
  <c r="C28" i="3"/>
  <c r="L27" i="3"/>
  <c r="C27" i="3"/>
  <c r="L26" i="3"/>
  <c r="C26" i="3"/>
  <c r="L25" i="3"/>
  <c r="C25" i="3"/>
  <c r="C19" i="3"/>
  <c r="E19" i="3" s="1"/>
  <c r="C18" i="3"/>
  <c r="E18" i="3" s="1"/>
  <c r="C17" i="3"/>
  <c r="E17" i="3" s="1"/>
  <c r="N17" i="3" s="1"/>
  <c r="P17" i="3" s="1"/>
  <c r="L16" i="3"/>
  <c r="C16" i="3"/>
  <c r="E16" i="3" s="1"/>
  <c r="L15" i="3"/>
  <c r="C15" i="3"/>
  <c r="E15" i="3" s="1"/>
  <c r="L14" i="3"/>
  <c r="C14" i="3"/>
  <c r="E14" i="3" s="1"/>
  <c r="L13" i="3"/>
  <c r="C13" i="3"/>
  <c r="E13" i="3" s="1"/>
  <c r="L12" i="3"/>
  <c r="C12" i="3"/>
  <c r="E12" i="3" s="1"/>
  <c r="L11" i="3"/>
  <c r="C11" i="3"/>
  <c r="E11" i="3" s="1"/>
  <c r="L10" i="3"/>
  <c r="C10" i="3"/>
  <c r="E10" i="3" s="1"/>
  <c r="L9" i="3"/>
  <c r="C9" i="3"/>
  <c r="E9" i="3" s="1"/>
  <c r="L8" i="3"/>
  <c r="C8" i="3"/>
  <c r="E8" i="3" s="1"/>
  <c r="L7" i="3"/>
  <c r="E17" i="15"/>
  <c r="D17" i="15"/>
  <c r="C17" i="15"/>
  <c r="E16" i="15"/>
  <c r="D16" i="15"/>
  <c r="C16" i="15"/>
  <c r="E15" i="15"/>
  <c r="D15" i="15"/>
  <c r="C15" i="15"/>
  <c r="E14" i="15"/>
  <c r="D14" i="15"/>
  <c r="C14" i="15"/>
  <c r="E12" i="15"/>
  <c r="D12" i="15"/>
  <c r="C12" i="15"/>
  <c r="E11" i="15"/>
  <c r="D11" i="15"/>
  <c r="E10" i="15"/>
  <c r="D10" i="15"/>
  <c r="C10" i="15"/>
  <c r="E9" i="15"/>
  <c r="D9" i="15"/>
  <c r="C9" i="15"/>
  <c r="E8" i="15"/>
  <c r="D8" i="15"/>
  <c r="C8" i="15"/>
  <c r="E6" i="15"/>
  <c r="D6" i="15"/>
  <c r="C6" i="15"/>
  <c r="E5" i="15"/>
  <c r="D5" i="15"/>
  <c r="C5" i="15"/>
  <c r="E4" i="15"/>
  <c r="D4" i="15"/>
  <c r="C4" i="15"/>
  <c r="U84" i="1"/>
  <c r="W84" i="1" s="1"/>
  <c r="N84" i="1"/>
  <c r="P84" i="1" s="1"/>
  <c r="H84" i="1"/>
  <c r="AA84" i="1" s="1"/>
  <c r="U83" i="1"/>
  <c r="N83" i="1"/>
  <c r="P83" i="1" s="1"/>
  <c r="H83" i="1"/>
  <c r="AA83" i="1" s="1"/>
  <c r="D83" i="1"/>
  <c r="D119" i="1" s="1"/>
  <c r="U81" i="1"/>
  <c r="V81" i="1" s="1"/>
  <c r="W81" i="1" s="1"/>
  <c r="R81" i="1"/>
  <c r="N81" i="1"/>
  <c r="H81" i="1"/>
  <c r="AA81" i="1" s="1"/>
  <c r="AB81" i="1" s="1"/>
  <c r="D81" i="1"/>
  <c r="U71" i="1"/>
  <c r="W71" i="1" s="1"/>
  <c r="R71" i="1"/>
  <c r="N71" i="1"/>
  <c r="AA71" i="1"/>
  <c r="B3" i="1"/>
  <c r="G19" i="1" s="1"/>
  <c r="G64" i="1" l="1"/>
  <c r="L64" i="1" s="1"/>
  <c r="G26" i="1"/>
  <c r="G17" i="1"/>
  <c r="I17" i="1" s="1"/>
  <c r="G31" i="1"/>
  <c r="G41" i="1"/>
  <c r="G39" i="1"/>
  <c r="G13" i="1"/>
  <c r="G7" i="1"/>
  <c r="G18" i="1"/>
  <c r="G82" i="1"/>
  <c r="L82" i="1" s="1"/>
  <c r="G61" i="1"/>
  <c r="I61" i="1" s="1"/>
  <c r="G62" i="1"/>
  <c r="G25" i="1"/>
  <c r="L25" i="1" s="1"/>
  <c r="G30" i="1"/>
  <c r="G59" i="1"/>
  <c r="L59" i="1" s="1"/>
  <c r="G45" i="1"/>
  <c r="L45" i="1" s="1"/>
  <c r="G48" i="1"/>
  <c r="D3" i="29"/>
  <c r="D25" i="29" s="1"/>
  <c r="G70" i="1"/>
  <c r="L70" i="1" s="1"/>
  <c r="G69" i="1"/>
  <c r="G37" i="1"/>
  <c r="L37" i="1" s="1"/>
  <c r="G95" i="1"/>
  <c r="L95" i="1" s="1"/>
  <c r="G78" i="1"/>
  <c r="I78" i="1" s="1"/>
  <c r="G15" i="1"/>
  <c r="G10" i="1"/>
  <c r="I10" i="1" s="1"/>
  <c r="G55" i="1"/>
  <c r="G12" i="1"/>
  <c r="G92" i="1"/>
  <c r="G90" i="1"/>
  <c r="I90" i="1" s="1"/>
  <c r="G86" i="1"/>
  <c r="I86" i="1" s="1"/>
  <c r="G89" i="1"/>
  <c r="G51" i="1"/>
  <c r="G9" i="1"/>
  <c r="G29" i="1"/>
  <c r="L29" i="1" s="1"/>
  <c r="G27" i="1"/>
  <c r="G28" i="1"/>
  <c r="L28" i="1" s="1"/>
  <c r="G67" i="1"/>
  <c r="L67" i="1" s="1"/>
  <c r="G85" i="1"/>
  <c r="G43" i="1"/>
  <c r="L43" i="1" s="1"/>
  <c r="G38" i="1"/>
  <c r="L38" i="1" s="1"/>
  <c r="G60" i="1"/>
  <c r="L60" i="1" s="1"/>
  <c r="G53" i="1"/>
  <c r="L53" i="1" s="1"/>
  <c r="G91" i="1"/>
  <c r="L91" i="1" s="1"/>
  <c r="G93" i="1"/>
  <c r="L93" i="1" s="1"/>
  <c r="G65" i="1"/>
  <c r="L65" i="1" s="1"/>
  <c r="G94" i="1"/>
  <c r="L94" i="1" s="1"/>
  <c r="G58" i="1"/>
  <c r="L58" i="1" s="1"/>
  <c r="G56" i="1"/>
  <c r="L56" i="1" s="1"/>
  <c r="G42" i="1"/>
  <c r="L42" i="1" s="1"/>
  <c r="G68" i="1"/>
  <c r="L68" i="1" s="1"/>
  <c r="G44" i="1"/>
  <c r="L44" i="1" s="1"/>
  <c r="G40" i="1"/>
  <c r="L40" i="1" s="1"/>
  <c r="G46" i="1"/>
  <c r="L46" i="1" s="1"/>
  <c r="G98" i="1"/>
  <c r="G96" i="1"/>
  <c r="L96" i="1" s="1"/>
  <c r="G36" i="1"/>
  <c r="L36" i="1" s="1"/>
  <c r="G47" i="1"/>
  <c r="L47" i="1" s="1"/>
  <c r="N47" i="3"/>
  <c r="P47" i="3" s="1"/>
  <c r="N12" i="3"/>
  <c r="P12" i="3" s="1"/>
  <c r="N48" i="3"/>
  <c r="P48" i="3" s="1"/>
  <c r="N7" i="3"/>
  <c r="P7" i="3" s="1"/>
  <c r="N10" i="3"/>
  <c r="P10" i="3" s="1"/>
  <c r="N16" i="3"/>
  <c r="P16" i="3" s="1"/>
  <c r="E32" i="3"/>
  <c r="N32" i="3" s="1"/>
  <c r="P32" i="3" s="1"/>
  <c r="N44" i="3"/>
  <c r="P44" i="3" s="1"/>
  <c r="N11" i="3"/>
  <c r="P11" i="3" s="1"/>
  <c r="N8" i="3"/>
  <c r="P8" i="3" s="1"/>
  <c r="N14" i="3"/>
  <c r="P14" i="3" s="1"/>
  <c r="N46" i="3"/>
  <c r="P46" i="3" s="1"/>
  <c r="N9" i="3"/>
  <c r="P9" i="3" s="1"/>
  <c r="N15" i="3"/>
  <c r="P15" i="3" s="1"/>
  <c r="E27" i="3"/>
  <c r="N27" i="3" s="1"/>
  <c r="P27" i="3" s="1"/>
  <c r="N45" i="3"/>
  <c r="P45" i="3" s="1"/>
  <c r="E28" i="3"/>
  <c r="N28" i="3" s="1"/>
  <c r="P28" i="3" s="1"/>
  <c r="E34" i="3"/>
  <c r="N34" i="3" s="1"/>
  <c r="P34" i="3" s="1"/>
  <c r="E31" i="3"/>
  <c r="N31" i="3" s="1"/>
  <c r="P31" i="3" s="1"/>
  <c r="E30" i="3"/>
  <c r="N30" i="3" s="1"/>
  <c r="P30" i="3" s="1"/>
  <c r="N13" i="3"/>
  <c r="P13" i="3" s="1"/>
  <c r="E33" i="3"/>
  <c r="N33" i="3" s="1"/>
  <c r="P33" i="3" s="1"/>
  <c r="E37" i="3"/>
  <c r="N37" i="3" s="1"/>
  <c r="P37" i="3" s="1"/>
  <c r="E25" i="3"/>
  <c r="N25" i="3" s="1"/>
  <c r="P25" i="3" s="1"/>
  <c r="E29" i="3"/>
  <c r="N29" i="3" s="1"/>
  <c r="P29" i="3" s="1"/>
  <c r="E26" i="3"/>
  <c r="N26" i="3" s="1"/>
  <c r="P26" i="3" s="1"/>
  <c r="P49" i="3"/>
  <c r="N50" i="3"/>
  <c r="P50" i="3" s="1"/>
  <c r="G34" i="1"/>
  <c r="L34" i="1" s="1"/>
  <c r="G80" i="1"/>
  <c r="G32" i="1"/>
  <c r="L32" i="1" s="1"/>
  <c r="G52" i="1"/>
  <c r="L52" i="1" s="1"/>
  <c r="G75" i="1"/>
  <c r="L75" i="1" s="1"/>
  <c r="G72" i="1"/>
  <c r="L72" i="1" s="1"/>
  <c r="G74" i="1"/>
  <c r="L74" i="1" s="1"/>
  <c r="G73" i="1"/>
  <c r="L73" i="1" s="1"/>
  <c r="G76" i="1"/>
  <c r="L76" i="1" s="1"/>
  <c r="G49" i="1"/>
  <c r="L49" i="1" s="1"/>
  <c r="G66" i="1"/>
  <c r="L66" i="1" s="1"/>
  <c r="G63" i="1"/>
  <c r="L63" i="1" s="1"/>
  <c r="D19" i="29"/>
  <c r="D20" i="29"/>
  <c r="G50" i="1"/>
  <c r="L50" i="1" s="1"/>
  <c r="G54" i="1"/>
  <c r="L54" i="1" s="1"/>
  <c r="G77" i="1"/>
  <c r="L77" i="1" s="1"/>
  <c r="G79" i="1"/>
  <c r="AB84" i="1"/>
  <c r="Y84" i="1"/>
  <c r="X84" i="1" s="1"/>
  <c r="AB83" i="1"/>
  <c r="Y83" i="1"/>
  <c r="X83" i="1" s="1"/>
  <c r="AB71" i="1"/>
  <c r="Y71" i="1"/>
  <c r="X71" i="1" s="1"/>
  <c r="Y81" i="1"/>
  <c r="X81" i="1" s="1"/>
  <c r="W83" i="1"/>
  <c r="G84" i="1"/>
  <c r="L84" i="1" s="1"/>
  <c r="D3" i="1"/>
  <c r="G81" i="1"/>
  <c r="L81" i="1" s="1"/>
  <c r="G71" i="1"/>
  <c r="L71" i="1" s="1"/>
  <c r="G83" i="1"/>
  <c r="L83" i="1" s="1"/>
  <c r="I9" i="1" l="1"/>
  <c r="L9" i="1"/>
  <c r="I64" i="1"/>
  <c r="I26" i="1"/>
  <c r="L26" i="1"/>
  <c r="L17" i="1"/>
  <c r="I31" i="1"/>
  <c r="L31" i="1"/>
  <c r="L41" i="1"/>
  <c r="I41" i="1"/>
  <c r="L39" i="1"/>
  <c r="I39" i="1"/>
  <c r="L13" i="1"/>
  <c r="I13" i="1"/>
  <c r="I7" i="1"/>
  <c r="L7" i="1"/>
  <c r="I92" i="1"/>
  <c r="L92" i="1"/>
  <c r="L61" i="1"/>
  <c r="I62" i="1"/>
  <c r="L62" i="1"/>
  <c r="I25" i="1"/>
  <c r="I30" i="1"/>
  <c r="L30" i="1"/>
  <c r="I59" i="1"/>
  <c r="I45" i="1"/>
  <c r="L48" i="1"/>
  <c r="I48" i="1"/>
  <c r="L69" i="1"/>
  <c r="I69" i="1"/>
  <c r="I37" i="1"/>
  <c r="L78" i="1"/>
  <c r="L15" i="1"/>
  <c r="I15" i="1"/>
  <c r="L10" i="1"/>
  <c r="L55" i="1"/>
  <c r="I55" i="1"/>
  <c r="L12" i="1"/>
  <c r="I12" i="1"/>
  <c r="D23" i="29"/>
  <c r="L90" i="1"/>
  <c r="L86" i="1"/>
  <c r="L89" i="1"/>
  <c r="I89" i="1"/>
  <c r="L51" i="1"/>
  <c r="I51" i="1"/>
  <c r="I29" i="1"/>
  <c r="L27" i="1"/>
  <c r="I27" i="1"/>
  <c r="I28" i="1"/>
  <c r="I67" i="1"/>
  <c r="L85" i="1"/>
  <c r="I85" i="1"/>
  <c r="I43" i="1"/>
  <c r="I60" i="1"/>
  <c r="I38" i="1"/>
  <c r="I98" i="1"/>
  <c r="L98" i="1"/>
  <c r="I80" i="1"/>
  <c r="L80" i="1"/>
  <c r="I79" i="1"/>
  <c r="L79" i="1"/>
  <c r="I58" i="1"/>
  <c r="I49" i="1"/>
  <c r="I53" i="1"/>
  <c r="I91" i="1"/>
  <c r="I93" i="1"/>
  <c r="I65" i="1"/>
  <c r="I94" i="1"/>
  <c r="I56" i="1"/>
  <c r="I42" i="1"/>
  <c r="I68" i="1"/>
  <c r="I44" i="1"/>
  <c r="I40" i="1"/>
  <c r="I46" i="1"/>
  <c r="I66" i="1"/>
  <c r="I96" i="1"/>
  <c r="I36" i="1"/>
  <c r="I95" i="1"/>
  <c r="I47" i="1"/>
  <c r="I34" i="1"/>
  <c r="I52" i="1"/>
  <c r="I32" i="1"/>
  <c r="I70" i="1"/>
  <c r="I75" i="1"/>
  <c r="I72" i="1"/>
  <c r="I74" i="1"/>
  <c r="I73" i="1"/>
  <c r="I76" i="1"/>
  <c r="I63" i="1"/>
  <c r="I71" i="1"/>
  <c r="I50" i="1"/>
  <c r="I54" i="1"/>
  <c r="I77" i="1"/>
  <c r="I82" i="1"/>
  <c r="I81" i="1"/>
  <c r="I83" i="1"/>
  <c r="I8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Rodríguez</author>
  </authors>
  <commentList>
    <comment ref="D18" authorId="0" shapeId="0" xr:uid="{F10B66F0-7F1A-4272-9B4F-151BFB36D055}">
      <text>
        <r>
          <rPr>
            <b/>
            <sz val="9"/>
            <color indexed="81"/>
            <rFont val="Tahoma"/>
            <family val="2"/>
          </rPr>
          <t>Jorge Rodríguez:</t>
        </r>
        <r>
          <rPr>
            <sz val="9"/>
            <color indexed="81"/>
            <rFont val="Tahoma"/>
            <family val="2"/>
          </rPr>
          <t xml:space="preserve">
09 enero</t>
        </r>
      </text>
    </comment>
    <comment ref="D20" authorId="0" shapeId="0" xr:uid="{56D236AD-C4DD-4D63-A44F-81C4AABF4BA5}">
      <text>
        <r>
          <rPr>
            <b/>
            <sz val="9"/>
            <color indexed="81"/>
            <rFont val="Tahoma"/>
            <family val="2"/>
          </rPr>
          <t>Jorge Rodríguez:</t>
        </r>
        <r>
          <rPr>
            <sz val="9"/>
            <color indexed="81"/>
            <rFont val="Tahoma"/>
            <family val="2"/>
          </rPr>
          <t xml:space="preserve">
26 feb</t>
        </r>
      </text>
    </comment>
    <comment ref="D22" authorId="0" shapeId="0" xr:uid="{3D62BE54-0114-40E4-8C3F-5D037D285909}">
      <text>
        <r>
          <rPr>
            <b/>
            <sz val="9"/>
            <color indexed="81"/>
            <rFont val="Tahoma"/>
            <family val="2"/>
          </rPr>
          <t>Jorge Rodríguez:</t>
        </r>
        <r>
          <rPr>
            <sz val="9"/>
            <color indexed="81"/>
            <rFont val="Tahoma"/>
            <family val="2"/>
          </rPr>
          <t xml:space="preserve">
26 feb</t>
        </r>
      </text>
    </comment>
    <comment ref="D24" authorId="0" shapeId="0" xr:uid="{B14D2576-5907-41CC-A676-35FB386472EA}">
      <text>
        <r>
          <rPr>
            <b/>
            <sz val="9"/>
            <color indexed="81"/>
            <rFont val="Tahoma"/>
            <family val="2"/>
          </rPr>
          <t>Jorge Rodríguez:</t>
        </r>
        <r>
          <rPr>
            <sz val="9"/>
            <color indexed="81"/>
            <rFont val="Tahoma"/>
            <family val="2"/>
          </rPr>
          <t xml:space="preserve">
15 ABRIL</t>
        </r>
      </text>
    </comment>
    <comment ref="D30" authorId="0" shapeId="0" xr:uid="{7E347E69-CDB6-4A95-A8F8-E5658125E956}">
      <text>
        <r>
          <rPr>
            <b/>
            <sz val="9"/>
            <color indexed="81"/>
            <rFont val="Tahoma"/>
            <family val="2"/>
          </rPr>
          <t>Jorge Rodríguez:</t>
        </r>
        <r>
          <rPr>
            <sz val="9"/>
            <color indexed="81"/>
            <rFont val="Tahoma"/>
            <family val="2"/>
          </rPr>
          <t xml:space="preserve">
13 marzo
</t>
        </r>
      </text>
    </comment>
    <comment ref="D92" authorId="0" shapeId="0" xr:uid="{D17B5001-2ED3-4996-8873-4C1F53A0F232}">
      <text>
        <r>
          <rPr>
            <b/>
            <sz val="9"/>
            <color indexed="81"/>
            <rFont val="Tahoma"/>
            <family val="2"/>
          </rPr>
          <t>Jorge Rodríguez:</t>
        </r>
        <r>
          <rPr>
            <sz val="9"/>
            <color indexed="81"/>
            <rFont val="Tahoma"/>
            <family val="2"/>
          </rPr>
          <t xml:space="preserve">
24 MARZO</t>
        </r>
      </text>
    </comment>
    <comment ref="D102" authorId="0" shapeId="0" xr:uid="{787CB4E9-9043-4DD4-9B54-C590500112B1}">
      <text>
        <r>
          <rPr>
            <b/>
            <sz val="9"/>
            <color indexed="81"/>
            <rFont val="Tahoma"/>
            <family val="2"/>
          </rPr>
          <t>Jorge Rodríguez:</t>
        </r>
        <r>
          <rPr>
            <sz val="9"/>
            <color indexed="81"/>
            <rFont val="Tahoma"/>
            <family val="2"/>
          </rPr>
          <t xml:space="preserve">
30 MARZO</t>
        </r>
      </text>
    </comment>
    <comment ref="D103" authorId="0" shapeId="0" xr:uid="{4E3B2500-4C45-4303-B7DE-2437163F01DD}">
      <text>
        <r>
          <rPr>
            <b/>
            <sz val="9"/>
            <color indexed="81"/>
            <rFont val="Tahoma"/>
            <family val="2"/>
          </rPr>
          <t>Jorge Rodríguez:</t>
        </r>
        <r>
          <rPr>
            <sz val="9"/>
            <color indexed="81"/>
            <rFont val="Tahoma"/>
            <family val="2"/>
          </rPr>
          <t xml:space="preserve">
01 ABRIL</t>
        </r>
      </text>
    </comment>
    <comment ref="D104" authorId="0" shapeId="0" xr:uid="{9F137D01-F939-4E78-9214-810220F1714C}">
      <text>
        <r>
          <rPr>
            <b/>
            <sz val="9"/>
            <color indexed="81"/>
            <rFont val="Tahoma"/>
            <family val="2"/>
          </rPr>
          <t>Jorge Rodríguez:</t>
        </r>
        <r>
          <rPr>
            <sz val="9"/>
            <color indexed="81"/>
            <rFont val="Tahoma"/>
            <family val="2"/>
          </rPr>
          <t xml:space="preserve">
09  ABRIL
</t>
        </r>
      </text>
    </comment>
    <comment ref="D105" authorId="0" shapeId="0" xr:uid="{2D6E2CA3-6590-4586-BA60-BBDF865A7389}">
      <text>
        <r>
          <rPr>
            <b/>
            <sz val="9"/>
            <color indexed="81"/>
            <rFont val="Tahoma"/>
            <family val="2"/>
          </rPr>
          <t>Jorge Rodríguez:</t>
        </r>
        <r>
          <rPr>
            <sz val="9"/>
            <color indexed="81"/>
            <rFont val="Tahoma"/>
            <family val="2"/>
          </rPr>
          <t xml:space="preserve">
15 ABRIL</t>
        </r>
      </text>
    </comment>
    <comment ref="D113" authorId="0" shapeId="0" xr:uid="{5B94468E-51FB-49F0-874E-54C80A7FDB7D}">
      <text>
        <r>
          <rPr>
            <b/>
            <sz val="9"/>
            <color indexed="81"/>
            <rFont val="Tahoma"/>
            <family val="2"/>
          </rPr>
          <t>Jorge Rodríguez:</t>
        </r>
        <r>
          <rPr>
            <sz val="9"/>
            <color indexed="81"/>
            <rFont val="Tahoma"/>
            <family val="2"/>
          </rPr>
          <t xml:space="preserve">
09 ABRIL</t>
        </r>
      </text>
    </comment>
  </commentList>
</comments>
</file>

<file path=xl/sharedStrings.xml><?xml version="1.0" encoding="utf-8"?>
<sst xmlns="http://schemas.openxmlformats.org/spreadsheetml/2006/main" count="2277" uniqueCount="464">
  <si>
    <t>CORRAL</t>
  </si>
  <si>
    <t>LOTE</t>
  </si>
  <si>
    <t>INVENTARIO</t>
  </si>
  <si>
    <t>FECHA INICIO</t>
  </si>
  <si>
    <t>DIAS ENGORDA PROYECTADOS</t>
  </si>
  <si>
    <t>PESO INICIO</t>
  </si>
  <si>
    <t>MACHO</t>
  </si>
  <si>
    <t>301-330</t>
  </si>
  <si>
    <t>331-360</t>
  </si>
  <si>
    <t>FECHA HOY</t>
  </si>
  <si>
    <t>DIAS EN F3Z</t>
  </si>
  <si>
    <t>FECHA CAMBIO F3Z</t>
  </si>
  <si>
    <t>VACA</t>
  </si>
  <si>
    <t>IMPLANTE</t>
  </si>
  <si>
    <t>2DO REIMPLANTE</t>
  </si>
  <si>
    <t>3ER REIMPLANTE</t>
  </si>
  <si>
    <t>HEMBRA</t>
  </si>
  <si>
    <t>100-150</t>
  </si>
  <si>
    <t>151-180</t>
  </si>
  <si>
    <t>181-210</t>
  </si>
  <si>
    <t>211-240</t>
  </si>
  <si>
    <t>241-270</t>
  </si>
  <si>
    <t>271-290</t>
  </si>
  <si>
    <t>291-310</t>
  </si>
  <si>
    <t>311-330</t>
  </si>
  <si>
    <t>331-350</t>
  </si>
  <si>
    <t>351-370</t>
  </si>
  <si>
    <t>371-390</t>
  </si>
  <si>
    <t>391-410</t>
  </si>
  <si>
    <t>411-430</t>
  </si>
  <si>
    <t>IMPLANTES</t>
  </si>
  <si>
    <t>RANGO PESO</t>
  </si>
  <si>
    <t>DIAS DIETA 3Z</t>
  </si>
  <si>
    <t>TOTAL DIAS</t>
  </si>
  <si>
    <t>GDP ESPERADA</t>
  </si>
  <si>
    <t>DIAS 1ER REIMP</t>
  </si>
  <si>
    <t>FECHA 1ER REIMP</t>
  </si>
  <si>
    <t>DIAS 2DO REIMP</t>
  </si>
  <si>
    <t>FECHA 2DO REIMP</t>
  </si>
  <si>
    <t>F3</t>
  </si>
  <si>
    <t>CHAMIZAL</t>
  </si>
  <si>
    <t>PESO PROMEDIO</t>
  </si>
  <si>
    <t>GDP 1ER REIMPLANTE</t>
  </si>
  <si>
    <t>GDP 2DO REIMPLANTE</t>
  </si>
  <si>
    <t>LAUREL</t>
  </si>
  <si>
    <t>PILETA</t>
  </si>
  <si>
    <t>CARRIZAL</t>
  </si>
  <si>
    <t>TOTAL</t>
  </si>
  <si>
    <t>HUIZACHE</t>
  </si>
  <si>
    <t>PIEDRERA</t>
  </si>
  <si>
    <t>CONTIDAD</t>
  </si>
  <si>
    <t>F1</t>
  </si>
  <si>
    <t>MIRASOLES</t>
  </si>
  <si>
    <t>CRONICOS</t>
  </si>
  <si>
    <t>CH-231-H</t>
  </si>
  <si>
    <t>DIAS EN F3</t>
  </si>
  <si>
    <t>CH-253-H</t>
  </si>
  <si>
    <t>CH-254-H</t>
  </si>
  <si>
    <t>CH-261-H</t>
  </si>
  <si>
    <t>CH-272</t>
  </si>
  <si>
    <t>CH-273</t>
  </si>
  <si>
    <t>CH-275</t>
  </si>
  <si>
    <t>CH-280</t>
  </si>
  <si>
    <t>CH-283-H</t>
  </si>
  <si>
    <t>CH-282</t>
  </si>
  <si>
    <t>PESO ESTIMADO POR RANGO</t>
  </si>
  <si>
    <t xml:space="preserve">CORRAL </t>
  </si>
  <si>
    <t>CH-292-H</t>
  </si>
  <si>
    <t xml:space="preserve">HEMBRA </t>
  </si>
  <si>
    <t>CH-296</t>
  </si>
  <si>
    <t>CH-295</t>
  </si>
  <si>
    <t>CH-299-H</t>
  </si>
  <si>
    <t>LA SIERRA</t>
  </si>
  <si>
    <t xml:space="preserve">SEMANA </t>
  </si>
  <si>
    <t>CH-311</t>
  </si>
  <si>
    <t>CH-305</t>
  </si>
  <si>
    <t>CH-304</t>
  </si>
  <si>
    <t>CH-312</t>
  </si>
  <si>
    <t>CH-307</t>
  </si>
  <si>
    <t>CH-313</t>
  </si>
  <si>
    <t>CH-306</t>
  </si>
  <si>
    <t>INVENTARIO GENERAL</t>
  </si>
  <si>
    <t>CH-318</t>
  </si>
  <si>
    <t>CH-314-H</t>
  </si>
  <si>
    <t>CH-316</t>
  </si>
  <si>
    <t>SEMANA</t>
  </si>
  <si>
    <t>CH-320</t>
  </si>
  <si>
    <t>CH-321</t>
  </si>
  <si>
    <t>MACHOS</t>
  </si>
  <si>
    <t>CH-326-H</t>
  </si>
  <si>
    <t>HEMBRAS</t>
  </si>
  <si>
    <t>HUI-14</t>
  </si>
  <si>
    <t>CH-324-HV</t>
  </si>
  <si>
    <t>361-390</t>
  </si>
  <si>
    <t>391-420</t>
  </si>
  <si>
    <t>421-450</t>
  </si>
  <si>
    <t>CH-330-HV</t>
  </si>
  <si>
    <t>CH-327-HV</t>
  </si>
  <si>
    <t>CH-333</t>
  </si>
  <si>
    <t>CH-334</t>
  </si>
  <si>
    <t>CH-332</t>
  </si>
  <si>
    <t>CH-337</t>
  </si>
  <si>
    <t>CH-325</t>
  </si>
  <si>
    <t>CH-336</t>
  </si>
  <si>
    <t>CH-335</t>
  </si>
  <si>
    <t>CH-331</t>
  </si>
  <si>
    <t>CH-338</t>
  </si>
  <si>
    <t>CH-339-HV</t>
  </si>
  <si>
    <t>CH-343-HV</t>
  </si>
  <si>
    <t>CH-345</t>
  </si>
  <si>
    <t>CH-349-HV</t>
  </si>
  <si>
    <t>CH-346-H</t>
  </si>
  <si>
    <t>CH-347-H</t>
  </si>
  <si>
    <t>CH-350-H</t>
  </si>
  <si>
    <t>SICAR-13</t>
  </si>
  <si>
    <t>CH-351</t>
  </si>
  <si>
    <t>CH-355-H</t>
  </si>
  <si>
    <t>CH-352-HV</t>
  </si>
  <si>
    <t>FECHA TERMINO TRANSICION</t>
  </si>
  <si>
    <t>FECHA INICIO TRANSICION F1-1/F3</t>
  </si>
  <si>
    <t>FECHA PROYECTADA</t>
  </si>
  <si>
    <t>TRANSICIONES  SEMANA 39</t>
  </si>
  <si>
    <t>ENTRADAS A ZILPATEROL SEMANA 39</t>
  </si>
  <si>
    <t>ULTIMA ENTRADA 15 DE AGO</t>
  </si>
  <si>
    <t>ULTIMA ENTRADA 14 DE AGO</t>
  </si>
  <si>
    <t>ULTIMA ENTRADA 15 DE SEPT</t>
  </si>
  <si>
    <t>RECEPCION</t>
  </si>
  <si>
    <t>REIMPLANTES  SEMANA 39</t>
  </si>
  <si>
    <t>SEXO</t>
  </si>
  <si>
    <t>1ER REIMPLANTE</t>
  </si>
  <si>
    <t>DISPONIBILIDAD VENTA SEMANA 39</t>
  </si>
  <si>
    <t>GENERALES</t>
  </si>
  <si>
    <t>DIAS TRANSCURRIDOS</t>
  </si>
  <si>
    <t>PESO ACTUAL PROYECTADO</t>
  </si>
  <si>
    <t>PESO DE SALIDA</t>
  </si>
  <si>
    <t>PROYECCION</t>
  </si>
  <si>
    <t>REIMPLANTES</t>
  </si>
  <si>
    <t>ALIMENTACION</t>
  </si>
  <si>
    <t>DIAS EN TRANSC.</t>
  </si>
  <si>
    <t>RETIRO A VENTA</t>
  </si>
  <si>
    <t>DISPONIBILIDAD</t>
  </si>
  <si>
    <t>CH-357-H</t>
  </si>
  <si>
    <t>CH-358-HV</t>
  </si>
  <si>
    <t>C92</t>
  </si>
  <si>
    <t>C80</t>
  </si>
  <si>
    <t>VACAS</t>
  </si>
  <si>
    <t>CH-362</t>
  </si>
  <si>
    <t>CH-361</t>
  </si>
  <si>
    <t>CH-364</t>
  </si>
  <si>
    <t>CH-359</t>
  </si>
  <si>
    <t>ESP 2</t>
  </si>
  <si>
    <t>CH-363</t>
  </si>
  <si>
    <t>CH-360</t>
  </si>
  <si>
    <t>CH-365-HV</t>
  </si>
  <si>
    <t>CH-342-H / CH-355-H</t>
  </si>
  <si>
    <t>151-190</t>
  </si>
  <si>
    <t>191-230</t>
  </si>
  <si>
    <t>231-260</t>
  </si>
  <si>
    <t>261-300</t>
  </si>
  <si>
    <t>451-480</t>
  </si>
  <si>
    <t>481-510</t>
  </si>
  <si>
    <t>511+</t>
  </si>
  <si>
    <t>CH-366-HV</t>
  </si>
  <si>
    <t>ENTRADAS A ZILPATEROL SEMANA 40</t>
  </si>
  <si>
    <t>ESTRATEGIA DE SALIDA, IMPLANTE, REIMPLANTE Y ALIMENTACION</t>
  </si>
  <si>
    <t>DIAS ESTANCIA</t>
  </si>
  <si>
    <t>DIAS EN F3SSS</t>
  </si>
  <si>
    <t>DIAS EN F1SMELAZA</t>
  </si>
  <si>
    <t>DIAS EN TRANSICION</t>
  </si>
  <si>
    <t>PROM</t>
  </si>
  <si>
    <t>KG POR HACER</t>
  </si>
  <si>
    <t>REV.  G</t>
  </si>
  <si>
    <t>REV. IMPLEMAX</t>
  </si>
  <si>
    <t>REV. H</t>
  </si>
  <si>
    <t>60 DIAS REV. H</t>
  </si>
  <si>
    <t>60 DIAS REV. IMPX</t>
  </si>
  <si>
    <t>MENOR A 400</t>
  </si>
  <si>
    <t>MAYOR A 400</t>
  </si>
  <si>
    <t>N/A</t>
  </si>
  <si>
    <t>CH-367</t>
  </si>
  <si>
    <t>CH-371</t>
  </si>
  <si>
    <t>CH-368</t>
  </si>
  <si>
    <t>CH-370</t>
  </si>
  <si>
    <t>CH-372</t>
  </si>
  <si>
    <t>HOSP 9</t>
  </si>
  <si>
    <t>HOSP 10</t>
  </si>
  <si>
    <t>H / V</t>
  </si>
  <si>
    <t>REIMPLANTES  SEMANA 40</t>
  </si>
  <si>
    <t>DIAS EN F3SZ</t>
  </si>
  <si>
    <t>CH-377-H</t>
  </si>
  <si>
    <t>CH-374-H</t>
  </si>
  <si>
    <t>CH-375-H</t>
  </si>
  <si>
    <t>CH-376-H</t>
  </si>
  <si>
    <t>POTRERO</t>
  </si>
  <si>
    <t>POTREROS</t>
  </si>
  <si>
    <t>CRIADEROS</t>
  </si>
  <si>
    <t xml:space="preserve">COLORADILLAS </t>
  </si>
  <si>
    <t>TOTAL GENERAL</t>
  </si>
  <si>
    <t>REIMPLANTES  SEMANA 41</t>
  </si>
  <si>
    <t>ENTRADAS A ZILPATEROL SEMANA 41</t>
  </si>
  <si>
    <t>POR REVISION</t>
  </si>
  <si>
    <t>C94</t>
  </si>
  <si>
    <t>TRANSICIONES  SEMANA 41</t>
  </si>
  <si>
    <t xml:space="preserve">INVENTARIO </t>
  </si>
  <si>
    <t>REALIZADO</t>
  </si>
  <si>
    <t>CH-378-HV</t>
  </si>
  <si>
    <t>REIMPLANTES  SEMANA 42</t>
  </si>
  <si>
    <t>ENTRADAS A ZILPATEROL SEMANA 42</t>
  </si>
  <si>
    <t>JARABES</t>
  </si>
  <si>
    <t>NACIMIENTOS</t>
  </si>
  <si>
    <t>REIMPLANTES  SEMANA 43</t>
  </si>
  <si>
    <t>ENTRADAS A ZILPATEROL SEMANA 43</t>
  </si>
  <si>
    <t>CH-380</t>
  </si>
  <si>
    <t>CH-381-HV</t>
  </si>
  <si>
    <t>CH-382-HV</t>
  </si>
  <si>
    <t>CH-386-H</t>
  </si>
  <si>
    <t>CH-385-H</t>
  </si>
  <si>
    <t>ENTRADAS A ZILPATEROL SEMANA 44</t>
  </si>
  <si>
    <t>TRANSICIONES  SEMANA 44</t>
  </si>
  <si>
    <t>REIMPLANTES SEMANA 44</t>
  </si>
  <si>
    <t>CH-388-HV</t>
  </si>
  <si>
    <t>ENTRADAS A ZILPATEROL SEMANA 45</t>
  </si>
  <si>
    <t>TRANSICIONES  SEMANA 45</t>
  </si>
  <si>
    <t>-</t>
  </si>
  <si>
    <t>REIMPLANTES SEMANA 45</t>
  </si>
  <si>
    <t>CH-387-H</t>
  </si>
  <si>
    <t>CH-389-HV</t>
  </si>
  <si>
    <t>CH-379</t>
  </si>
  <si>
    <t>DISPONIBILIDAD DE VENTAS</t>
  </si>
  <si>
    <t>CH-383</t>
  </si>
  <si>
    <t>ENTRADAS A ZILPATEROL SEMANA 46</t>
  </si>
  <si>
    <t>TRANSICIONES  SEMANA 46</t>
  </si>
  <si>
    <t>REIMPLANTES SEMANA 46</t>
  </si>
  <si>
    <t>CH-390-H</t>
  </si>
  <si>
    <t>CH-384</t>
  </si>
  <si>
    <t>ENTRADAS A ZILPATEROL SEMANA 47</t>
  </si>
  <si>
    <t>TRANSICIONES  SEMANA 47</t>
  </si>
  <si>
    <t>REIMPLANTES SEMANA 47</t>
  </si>
  <si>
    <t xml:space="preserve">2DO REIMPLANTE </t>
  </si>
  <si>
    <t>CH-391-H</t>
  </si>
  <si>
    <t>CH-392</t>
  </si>
  <si>
    <t>CH-396</t>
  </si>
  <si>
    <t>CH-395</t>
  </si>
  <si>
    <t>CH-394</t>
  </si>
  <si>
    <t>CH-393</t>
  </si>
  <si>
    <t>CH-397</t>
  </si>
  <si>
    <t>CH-399</t>
  </si>
  <si>
    <t>CH-400</t>
  </si>
  <si>
    <t>CH-404-HV</t>
  </si>
  <si>
    <t>CH-405-HV</t>
  </si>
  <si>
    <t>CH-406-HV</t>
  </si>
  <si>
    <t>SEMANA 39</t>
  </si>
  <si>
    <t>SEMANA 40</t>
  </si>
  <si>
    <t>SEMANA 41</t>
  </si>
  <si>
    <t>SEMANA 42</t>
  </si>
  <si>
    <t>SEMANA 43</t>
  </si>
  <si>
    <t>SEMANA 44</t>
  </si>
  <si>
    <t>SEMANA 45</t>
  </si>
  <si>
    <t>SEMANA 46</t>
  </si>
  <si>
    <t>SEMANA 47</t>
  </si>
  <si>
    <t>ENTRADAS A ZILPATEROL SEMANA 48</t>
  </si>
  <si>
    <t>TRANSICIONES  SEMANA 48</t>
  </si>
  <si>
    <t>REIMPLANTES SEMANA 48</t>
  </si>
  <si>
    <t>ENTRADAS A ZILPATEROL SEMANA 49</t>
  </si>
  <si>
    <t>SEMANA 48 (DEL 24 AL 30 NOV)</t>
  </si>
  <si>
    <t>SEMANA 49 (DEL 01 AL 07 DIC)</t>
  </si>
  <si>
    <t>TRANSICIONES  SEMANA 49</t>
  </si>
  <si>
    <t>REIMPLANTES SEMANA 49</t>
  </si>
  <si>
    <t>SEMANA 50 (DEL 08 AL 14 DIC)</t>
  </si>
  <si>
    <t>ENTRADAS A ZILPATEROL SEMANA 50</t>
  </si>
  <si>
    <t>TRANSICIONES  SEMANA 50</t>
  </si>
  <si>
    <t>CH-398</t>
  </si>
  <si>
    <t>CH-407-H</t>
  </si>
  <si>
    <t>CH-402</t>
  </si>
  <si>
    <t>CH-408-HV</t>
  </si>
  <si>
    <t>CH-403</t>
  </si>
  <si>
    <t>CH-409-HV</t>
  </si>
  <si>
    <t>CH-410-H</t>
  </si>
  <si>
    <t>SEMANA 51 (DEL 15 AL 21 DIC)</t>
  </si>
  <si>
    <t>ENTRADAS A ZILPATEROL SEMANA 51</t>
  </si>
  <si>
    <t>TRANSICIONES  SEMANA 51</t>
  </si>
  <si>
    <t>REIMPLANTES SEMANA 51</t>
  </si>
  <si>
    <t>SEMANA 52 (DEL 22 AL 28 DIC)</t>
  </si>
  <si>
    <t>ENTRADAS A ZILPATEROL SEMANA 52</t>
  </si>
  <si>
    <t>TRANSICIONES  SEMANA 52</t>
  </si>
  <si>
    <t>REIMPLANTES SEMANA 52</t>
  </si>
  <si>
    <t>CH-401</t>
  </si>
  <si>
    <t>CH-412-H</t>
  </si>
  <si>
    <t>CH-413</t>
  </si>
  <si>
    <t>CH-414</t>
  </si>
  <si>
    <t>SIPIE-14</t>
  </si>
  <si>
    <t>CH-415-H</t>
  </si>
  <si>
    <t>CH-373</t>
  </si>
  <si>
    <t>CH-369</t>
  </si>
  <si>
    <t>SEMANA 01 (DEL 29 DE DIC AL 04 DE ENERO)</t>
  </si>
  <si>
    <t>ENTRADAS A ZILPATEROL SEMANA 01</t>
  </si>
  <si>
    <t>TRANSICIONES  SEMANA 01</t>
  </si>
  <si>
    <t>REIMPLANTES SEMANA 01</t>
  </si>
  <si>
    <t>ENTRADAS A ZILPATEROL SEMANA 02</t>
  </si>
  <si>
    <t>SEMANA 02 (DEL 05 AL 11 DE ENERO)</t>
  </si>
  <si>
    <t>TRANSICIONES  SEMANA 02</t>
  </si>
  <si>
    <t>REIMPLANTES SEMANA 02</t>
  </si>
  <si>
    <t>SIJAR-14</t>
  </si>
  <si>
    <t>CH-411-HV</t>
  </si>
  <si>
    <t>CH-418</t>
  </si>
  <si>
    <t>SEMANA 03 (DEL 12 AL 18 DE ENERO)</t>
  </si>
  <si>
    <t>ENTRADAS A ZILPATEROL SEMANA 03</t>
  </si>
  <si>
    <t>TRANSICIONES  SEMANA 03</t>
  </si>
  <si>
    <t>REIMPLANTES SEMANA 03</t>
  </si>
  <si>
    <t>CH-419-H</t>
  </si>
  <si>
    <t>CH-421</t>
  </si>
  <si>
    <t>CH-422-HV</t>
  </si>
  <si>
    <t>CH-420-H</t>
  </si>
  <si>
    <t>CH-424-H</t>
  </si>
  <si>
    <t>CH-425-H</t>
  </si>
  <si>
    <t>CH-426-H</t>
  </si>
  <si>
    <t>CH-428-H</t>
  </si>
  <si>
    <t>CH-427-H</t>
  </si>
  <si>
    <t>SEMANA 04 (DEL 19 AL 25 DE ENERO)</t>
  </si>
  <si>
    <t>ENTRADAS A ZILPATEROL SEMANA 04</t>
  </si>
  <si>
    <t>TRANSICIONES  SEMANA 04</t>
  </si>
  <si>
    <t>ATRASADAS (CHECAR)</t>
  </si>
  <si>
    <t>REIMPLANTES SEMANA 04</t>
  </si>
  <si>
    <t>CH-416-H (KINDER)</t>
  </si>
  <si>
    <t>CH-431-H</t>
  </si>
  <si>
    <t>CH-429-H</t>
  </si>
  <si>
    <t>CH-432-H</t>
  </si>
  <si>
    <t>CH-430-H</t>
  </si>
  <si>
    <t>CH-433</t>
  </si>
  <si>
    <t>CH-434</t>
  </si>
  <si>
    <t>HUI-16</t>
  </si>
  <si>
    <t>CH-435</t>
  </si>
  <si>
    <t>CH-437</t>
  </si>
  <si>
    <t>CH-439</t>
  </si>
  <si>
    <t>CH-438-HV</t>
  </si>
  <si>
    <t>SIMIR-15</t>
  </si>
  <si>
    <t>CH-440-H</t>
  </si>
  <si>
    <t>1ER REIMPLANTE 22/01/2026</t>
  </si>
  <si>
    <t>SEMANA 05 (DEL 26 DE ENERO AL 01 DE FEBRERO)</t>
  </si>
  <si>
    <t>ENTRADAS A ZILPATEROL SEMANA 05</t>
  </si>
  <si>
    <t>TRANSICIONES  SEMANA 05</t>
  </si>
  <si>
    <t>REIMPLANTES SEMANA 05</t>
  </si>
  <si>
    <t>1er REIMPLANTE</t>
  </si>
  <si>
    <t>2do REIMPLANTE</t>
  </si>
  <si>
    <t>CH-442</t>
  </si>
  <si>
    <t>CH-444-HV</t>
  </si>
  <si>
    <t>CH-441-H</t>
  </si>
  <si>
    <t>1ER REIMPLANTE 30/01/2026</t>
  </si>
  <si>
    <t xml:space="preserve">1ER REIMPLANTE </t>
  </si>
  <si>
    <t>SEMANA 06 (DEL 02 AL 08 DE FEBRERO)</t>
  </si>
  <si>
    <t>ENTRADAS A ZILPATEROL SEMANA 06</t>
  </si>
  <si>
    <t>TRANSICIONES  SEMANA 06</t>
  </si>
  <si>
    <t>REIMPLANTES SEMANA 06</t>
  </si>
  <si>
    <t>CH-445</t>
  </si>
  <si>
    <t>271-300</t>
  </si>
  <si>
    <t>60 DIAS REV. H + XR</t>
  </si>
  <si>
    <t>REV. H Y XR</t>
  </si>
  <si>
    <t>4TO REIMPLANTE</t>
  </si>
  <si>
    <t>REV. H + XR</t>
  </si>
  <si>
    <t>GANADO DE POTRERO MACHO</t>
  </si>
  <si>
    <t>GANADO DE POTRERO HEMBRA</t>
  </si>
  <si>
    <t xml:space="preserve">REV. H </t>
  </si>
  <si>
    <t>CH-446</t>
  </si>
  <si>
    <t>SEMANA 07 (DEL 09 AL 15 DE FEBRERO)</t>
  </si>
  <si>
    <t>ENTRADAS A ZILPATEROL SEMANA 07</t>
  </si>
  <si>
    <t>TRANSICIONES  SEMANA 07</t>
  </si>
  <si>
    <t>REIMPLANTES SEMANA 07</t>
  </si>
  <si>
    <t>VARIOS</t>
  </si>
  <si>
    <t>CH-447-H</t>
  </si>
  <si>
    <t>CH-448-HV</t>
  </si>
  <si>
    <t>CH-449-HV</t>
  </si>
  <si>
    <t>zilpa</t>
  </si>
  <si>
    <t>SEMANA 08 (DEL 16 AL 22 DE FEBRERO)</t>
  </si>
  <si>
    <t>ENTRADAS A ZILPATEROL SEMANA 08</t>
  </si>
  <si>
    <t>TRANSICIONES  SEMANA 08</t>
  </si>
  <si>
    <t>REIMPLANTES SEMANA 08</t>
  </si>
  <si>
    <t>CH-450-HV</t>
  </si>
  <si>
    <t>CH-452</t>
  </si>
  <si>
    <t>SEMANA 09 (DEL 23 DE FEBRERO AL 01 DE MARZO)</t>
  </si>
  <si>
    <t>ENTRADAS A ZILPATEROL SEMANA 09</t>
  </si>
  <si>
    <t>TRANSICIONES  SEMANA 09</t>
  </si>
  <si>
    <t>REIMPLANTES SEMANA 09</t>
  </si>
  <si>
    <t>CH-451-HV</t>
  </si>
  <si>
    <t>CH-453</t>
  </si>
  <si>
    <t>CH-436</t>
  </si>
  <si>
    <t>CH-454</t>
  </si>
  <si>
    <t>CH-455</t>
  </si>
  <si>
    <t>CH-456</t>
  </si>
  <si>
    <t>CH-457</t>
  </si>
  <si>
    <t>CH-458</t>
  </si>
  <si>
    <t>CH-459</t>
  </si>
  <si>
    <t>CH-460</t>
  </si>
  <si>
    <t>SEMANA 10 (DEL 02 AL 08 DE MARZO)</t>
  </si>
  <si>
    <t>ENTRADAS A ZILPATEROL SEMANA 10</t>
  </si>
  <si>
    <t>TRANSICIONES  SEMANA 10</t>
  </si>
  <si>
    <t>C70 Y C31 checar (lotes de potrero)</t>
  </si>
  <si>
    <t>REIMPLANTES SEMANA 10</t>
  </si>
  <si>
    <t>TEMP1</t>
  </si>
  <si>
    <t>SEMANA 11 (DEL 09 AL 15 DE MARZO)</t>
  </si>
  <si>
    <t>ENTRADAS A ZILPATEROL SEMANA 11</t>
  </si>
  <si>
    <t>TRANSICIONES  SEMANA 11</t>
  </si>
  <si>
    <t>REIMPLANTES SEMANA 11</t>
  </si>
  <si>
    <t>CH-461-HV</t>
  </si>
  <si>
    <t>CH-462-HV</t>
  </si>
  <si>
    <t>CH-463-H</t>
  </si>
  <si>
    <t>GDP</t>
  </si>
  <si>
    <t>SEMANA 12 (DEL 16 AL 22 DE MARZO)</t>
  </si>
  <si>
    <t>ENTRADAS A ZILPATEROL SEMANA 12</t>
  </si>
  <si>
    <t>ATRASADO</t>
  </si>
  <si>
    <t>CH-357-H (CHICOS)</t>
  </si>
  <si>
    <t>CH-394 (CHICOS)</t>
  </si>
  <si>
    <t>TRANSICIONES  SEMANA 12</t>
  </si>
  <si>
    <t>REIMPLANTES SEMANA 12</t>
  </si>
  <si>
    <t>CH-464-H</t>
  </si>
  <si>
    <t>CH-465</t>
  </si>
  <si>
    <t>CH-466-HV</t>
  </si>
  <si>
    <t>CH-467-HV</t>
  </si>
  <si>
    <t>CH-468-H</t>
  </si>
  <si>
    <t>PROGRAMA DE DISPONIBILIDAD 2026</t>
  </si>
  <si>
    <t>?</t>
  </si>
  <si>
    <t>SEMANA 13 (DEL 23 AL 29 DE MARZO)</t>
  </si>
  <si>
    <t>ENTRADAS A ZILPATEROL SEMANA 13</t>
  </si>
  <si>
    <t>TRANSICIONES  SEMANA 13</t>
  </si>
  <si>
    <t>REIMPLANTES SEMANA 13</t>
  </si>
  <si>
    <t>CH-469-HV</t>
  </si>
  <si>
    <t>SEMANA 14 (DEL 30 DE MARZO AL 05 DE ABRIL )</t>
  </si>
  <si>
    <t>ENTRADAS A ZILPATEROL SEMANA 14</t>
  </si>
  <si>
    <t>TRANSICIONES  SEMANA 14</t>
  </si>
  <si>
    <t>REIMPLANTES SEMANA 14</t>
  </si>
  <si>
    <t>*</t>
  </si>
  <si>
    <t>SEMANA 15 (DEL 06 AL 12 DE ABRIL )</t>
  </si>
  <si>
    <t>ENTRADAS A ZILPATEROL SEMANA 15</t>
  </si>
  <si>
    <t>CH-470-H</t>
  </si>
  <si>
    <t>CH-471-H</t>
  </si>
  <si>
    <t>TRANSICIONES  SEMANA 15</t>
  </si>
  <si>
    <t>REIMPLANTES SEMANA 15</t>
  </si>
  <si>
    <t>LAU-14</t>
  </si>
  <si>
    <t>CH-472-H</t>
  </si>
  <si>
    <t>CH-474-H</t>
  </si>
  <si>
    <t>SEMANA 16 (DEL 13 AL 19 DE ABRIL )</t>
  </si>
  <si>
    <t>ENTRADAS A ZILPATEROL SEMANA 16</t>
  </si>
  <si>
    <t>TRANSICIONES  SEMANA 16</t>
  </si>
  <si>
    <t>REIMPLANTES SEMANA 16</t>
  </si>
  <si>
    <t>SICAR-14</t>
  </si>
  <si>
    <t>CH-477</t>
  </si>
  <si>
    <t>CH-476</t>
  </si>
  <si>
    <t>TEMP3</t>
  </si>
  <si>
    <t>TEMP4</t>
  </si>
  <si>
    <t>TEMP2</t>
  </si>
  <si>
    <t>ESP1</t>
  </si>
  <si>
    <t>ESP2</t>
  </si>
  <si>
    <t>ESP3</t>
  </si>
  <si>
    <t>ESP4</t>
  </si>
  <si>
    <t>ESP5</t>
  </si>
  <si>
    <t>ESP6</t>
  </si>
  <si>
    <t>ESP7</t>
  </si>
  <si>
    <t>SEMANA 17 (DEL 20 AL 26 DE ABRIL )</t>
  </si>
  <si>
    <t>ENTRADAS A ZILPATEROL SEMANA 17</t>
  </si>
  <si>
    <t>TRANSICIONES  SEMANA 17</t>
  </si>
  <si>
    <t>REIMPLANTES SEMANA 17</t>
  </si>
  <si>
    <t xml:space="preserve"> </t>
  </si>
  <si>
    <t>OSCAR VALDEZ</t>
  </si>
  <si>
    <t>ENRIQUE COVARRUBIAS</t>
  </si>
  <si>
    <t>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</si>
</sst>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4DFC3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DDDDDD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8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0" xfId="0" applyFont="1"/>
    <xf numFmtId="1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vertical="center"/>
    </xf>
    <xf numFmtId="2" fontId="0" fillId="0" borderId="0" xfId="0" applyNumberFormat="1"/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/>
    <xf numFmtId="0" fontId="0" fillId="0" borderId="6" xfId="0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2" fontId="1" fillId="0" borderId="8" xfId="0" applyNumberFormat="1" applyFont="1" applyBorder="1" applyAlignment="1">
      <alignment horizontal="center" vertical="center" wrapText="1"/>
    </xf>
    <xf numFmtId="14" fontId="1" fillId="0" borderId="9" xfId="0" applyNumberFormat="1" applyFont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1" fontId="0" fillId="0" borderId="0" xfId="0" applyNumberFormat="1" applyAlignment="1">
      <alignment horizontal="center"/>
    </xf>
    <xf numFmtId="0" fontId="8" fillId="3" borderId="8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3" fontId="1" fillId="0" borderId="8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0" borderId="1" xfId="0" applyBorder="1"/>
    <xf numFmtId="1" fontId="1" fillId="0" borderId="1" xfId="0" applyNumberFormat="1" applyFont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0" fillId="0" borderId="9" xfId="0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" fontId="0" fillId="9" borderId="1" xfId="0" applyNumberForma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15" borderId="0" xfId="0" applyFill="1"/>
    <xf numFmtId="0" fontId="0" fillId="15" borderId="0" xfId="0" applyFill="1" applyAlignment="1">
      <alignment horizontal="center"/>
    </xf>
    <xf numFmtId="14" fontId="0" fillId="0" borderId="1" xfId="0" applyNumberFormat="1" applyBorder="1"/>
    <xf numFmtId="0" fontId="0" fillId="0" borderId="6" xfId="0" applyBorder="1" applyAlignment="1">
      <alignment horizontal="center"/>
    </xf>
    <xf numFmtId="1" fontId="3" fillId="0" borderId="9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4" fontId="3" fillId="0" borderId="9" xfId="0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2" fontId="0" fillId="6" borderId="8" xfId="0" applyNumberFormat="1" applyFill="1" applyBorder="1" applyAlignment="1">
      <alignment horizontal="center" vertical="center"/>
    </xf>
    <xf numFmtId="1" fontId="12" fillId="0" borderId="8" xfId="0" applyNumberFormat="1" applyFont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18" fontId="1" fillId="3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0" fontId="1" fillId="22" borderId="1" xfId="0" applyFont="1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0" fillId="22" borderId="8" xfId="0" applyFill="1" applyBorder="1" applyAlignment="1">
      <alignment horizontal="center" vertical="center"/>
    </xf>
    <xf numFmtId="14" fontId="0" fillId="22" borderId="9" xfId="0" applyNumberForma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center" vertical="center" wrapText="1"/>
    </xf>
    <xf numFmtId="0" fontId="1" fillId="21" borderId="8" xfId="0" applyFont="1" applyFill="1" applyBorder="1" applyAlignment="1">
      <alignment horizontal="center" vertical="center" wrapText="1"/>
    </xf>
    <xf numFmtId="0" fontId="1" fillId="21" borderId="9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11" borderId="15" xfId="0" applyFont="1" applyFill="1" applyBorder="1" applyAlignment="1">
      <alignment horizontal="center" vertical="center"/>
    </xf>
    <xf numFmtId="0" fontId="1" fillId="11" borderId="14" xfId="0" applyFont="1" applyFill="1" applyBorder="1" applyAlignment="1">
      <alignment horizontal="center" vertical="center"/>
    </xf>
    <xf numFmtId="0" fontId="1" fillId="11" borderId="11" xfId="0" applyFont="1" applyFill="1" applyBorder="1" applyAlignment="1">
      <alignment horizontal="center" vertical="center"/>
    </xf>
    <xf numFmtId="0" fontId="1" fillId="11" borderId="16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1" fillId="11" borderId="13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14" borderId="10" xfId="0" applyFont="1" applyFill="1" applyBorder="1" applyAlignment="1">
      <alignment horizontal="center" vertical="center"/>
    </xf>
    <xf numFmtId="0" fontId="1" fillId="14" borderId="14" xfId="0" applyFont="1" applyFill="1" applyBorder="1" applyAlignment="1">
      <alignment horizontal="center" vertical="center"/>
    </xf>
    <xf numFmtId="0" fontId="1" fillId="14" borderId="11" xfId="0" applyFont="1" applyFill="1" applyBorder="1" applyAlignment="1">
      <alignment horizontal="center" vertical="center"/>
    </xf>
    <xf numFmtId="0" fontId="1" fillId="14" borderId="12" xfId="0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/>
    </xf>
    <xf numFmtId="0" fontId="1" fillId="14" borderId="13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14" fontId="1" fillId="8" borderId="10" xfId="0" applyNumberFormat="1" applyFont="1" applyFill="1" applyBorder="1" applyAlignment="1">
      <alignment horizontal="center" vertical="center"/>
    </xf>
    <xf numFmtId="14" fontId="1" fillId="8" borderId="11" xfId="0" applyNumberFormat="1" applyFont="1" applyFill="1" applyBorder="1" applyAlignment="1">
      <alignment horizontal="center" vertical="center"/>
    </xf>
    <xf numFmtId="14" fontId="1" fillId="8" borderId="12" xfId="0" applyNumberFormat="1" applyFont="1" applyFill="1" applyBorder="1" applyAlignment="1">
      <alignment horizontal="center" vertical="center"/>
    </xf>
    <xf numFmtId="14" fontId="1" fillId="8" borderId="13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3" fillId="5" borderId="0" xfId="0" applyFont="1" applyFill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2" fontId="14" fillId="0" borderId="1" xfId="0" applyNumberFormat="1" applyFont="1" applyBorder="1" applyAlignment="1">
      <alignment horizontal="center"/>
    </xf>
    <xf numFmtId="1" fontId="14" fillId="0" borderId="1" xfId="0" applyNumberFormat="1" applyFont="1" applyBorder="1" applyAlignment="1">
      <alignment horizontal="center"/>
    </xf>
    <xf numFmtId="0" fontId="14" fillId="17" borderId="1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/>
    </xf>
    <xf numFmtId="0" fontId="14" fillId="18" borderId="1" xfId="0" applyFont="1" applyFill="1" applyBorder="1" applyAlignment="1">
      <alignment horizontal="center"/>
    </xf>
    <xf numFmtId="0" fontId="14" fillId="19" borderId="1" xfId="0" applyFont="1" applyFill="1" applyBorder="1" applyAlignment="1">
      <alignment horizontal="center"/>
    </xf>
    <xf numFmtId="0" fontId="14" fillId="0" borderId="0" xfId="0" applyFont="1"/>
    <xf numFmtId="0" fontId="13" fillId="0" borderId="0" xfId="0" applyFont="1" applyAlignment="1">
      <alignment horizontal="center"/>
    </xf>
    <xf numFmtId="0" fontId="13" fillId="12" borderId="0" xfId="0" applyFont="1" applyFill="1" applyAlignment="1">
      <alignment horizontal="center"/>
    </xf>
    <xf numFmtId="0" fontId="14" fillId="7" borderId="1" xfId="0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14" fillId="20" borderId="1" xfId="0" applyFont="1" applyFill="1" applyBorder="1" applyAlignment="1">
      <alignment horizontal="center"/>
    </xf>
    <xf numFmtId="0" fontId="14" fillId="21" borderId="1" xfId="0" applyFont="1" applyFill="1" applyBorder="1" applyAlignment="1">
      <alignment horizontal="center"/>
    </xf>
    <xf numFmtId="0" fontId="14" fillId="6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2" fontId="14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1" fontId="13" fillId="0" borderId="0" xfId="0" applyNumberFormat="1" applyFont="1" applyAlignment="1">
      <alignment horizontal="center"/>
    </xf>
    <xf numFmtId="0" fontId="13" fillId="11" borderId="0" xfId="0" applyFont="1" applyFill="1" applyAlignment="1">
      <alignment horizontal="center"/>
    </xf>
    <xf numFmtId="0" fontId="13" fillId="4" borderId="2" xfId="0" applyFont="1" applyFill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6" xfId="0" applyFont="1" applyBorder="1" applyAlignment="1">
      <alignment horizontal="center"/>
    </xf>
  </cellXfs>
  <cellStyles count="1">
    <cellStyle name="Normal" xfId="0" builtinId="0"/>
  </cellStyles>
  <dxfs count="1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DDDDD"/>
      <color rgb="FFFF66FF"/>
      <color rgb="FF4DFC30"/>
      <color rgb="FFCCFFFF"/>
      <color rgb="FF996633"/>
      <color rgb="FFFD432F"/>
      <color rgb="FFC0E6F5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8540F-394F-477C-8BCC-6F339E9831A1}">
  <sheetPr>
    <pageSetUpPr fitToPage="1"/>
  </sheetPr>
  <dimension ref="A1:AP124"/>
  <sheetViews>
    <sheetView zoomScale="85" zoomScaleNormal="85" zoomScaleSheetLayoutView="80" workbookViewId="0">
      <pane xSplit="1" ySplit="6" topLeftCell="B25" activePane="bottomRight" state="frozen"/>
      <selection pane="topRight" activeCell="B1" sqref="B1"/>
      <selection pane="bottomLeft" activeCell="A4" sqref="A4"/>
      <selection pane="bottomRight" activeCell="D38" sqref="D38"/>
    </sheetView>
  </sheetViews>
  <sheetFormatPr baseColWidth="10" defaultColWidth="11.42578125" defaultRowHeight="15" x14ac:dyDescent="0.25"/>
  <cols>
    <col min="1" max="1" width="14.5703125" style="4" bestFit="1" customWidth="1"/>
    <col min="2" max="2" width="27.5703125" style="20" bestFit="1" customWidth="1"/>
    <col min="3" max="3" width="10.28515625" style="1" bestFit="1" customWidth="1"/>
    <col min="4" max="4" width="12.42578125" style="1" bestFit="1" customWidth="1"/>
    <col min="5" max="5" width="18" style="1" bestFit="1" customWidth="1"/>
    <col min="6" max="6" width="17.42578125" style="1" customWidth="1"/>
    <col min="7" max="7" width="16.42578125" style="1" customWidth="1"/>
    <col min="8" max="8" width="16.7109375" style="1" bestFit="1" customWidth="1"/>
    <col min="9" max="9" width="18.140625" style="1" bestFit="1" customWidth="1"/>
    <col min="10" max="10" width="14.7109375" style="4" bestFit="1" customWidth="1"/>
    <col min="11" max="11" width="14.28515625" style="1" customWidth="1"/>
    <col min="12" max="12" width="13.42578125" style="1" customWidth="1"/>
    <col min="13" max="13" width="11.140625" style="1" customWidth="1"/>
    <col min="14" max="14" width="12.140625" style="2" customWidth="1"/>
    <col min="15" max="15" width="15" style="7" customWidth="1"/>
    <col min="16" max="16" width="14.85546875" style="6" customWidth="1"/>
    <col min="17" max="17" width="13" style="1" customWidth="1"/>
    <col min="18" max="18" width="12.7109375" style="2" customWidth="1"/>
    <col min="19" max="19" width="13.42578125" style="7" customWidth="1"/>
    <col min="20" max="20" width="15.42578125" style="6" customWidth="1"/>
    <col min="21" max="21" width="14.140625" style="1" customWidth="1"/>
    <col min="22" max="23" width="17.140625" style="1" customWidth="1"/>
    <col min="24" max="24" width="11.42578125" style="7" customWidth="1"/>
    <col min="25" max="25" width="18" style="2" bestFit="1" customWidth="1"/>
    <col min="26" max="26" width="13" style="1" bestFit="1" customWidth="1"/>
    <col min="27" max="27" width="16.7109375" style="2" bestFit="1" customWidth="1"/>
    <col min="28" max="28" width="13.5703125" bestFit="1" customWidth="1"/>
    <col min="29" max="29" width="25.28515625" style="1" bestFit="1" customWidth="1"/>
    <col min="30" max="16384" width="11.42578125" style="1"/>
  </cols>
  <sheetData>
    <row r="1" spans="1:28" ht="14.45" customHeight="1" x14ac:dyDescent="0.25">
      <c r="A1" s="117" t="s">
        <v>418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</row>
    <row r="2" spans="1:28" ht="9" customHeight="1" x14ac:dyDescent="0.25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</row>
    <row r="3" spans="1:28" x14ac:dyDescent="0.25">
      <c r="A3" s="4" t="s">
        <v>9</v>
      </c>
      <c r="B3" s="21">
        <f ca="1">TODAY()</f>
        <v>46140</v>
      </c>
      <c r="C3" s="4" t="s">
        <v>85</v>
      </c>
      <c r="D3" s="1">
        <f ca="1">WEEKNUM(B3)</f>
        <v>18</v>
      </c>
      <c r="I3" s="2"/>
      <c r="U3" s="4"/>
      <c r="V3" s="1" t="s">
        <v>138</v>
      </c>
      <c r="W3" s="4">
        <v>14</v>
      </c>
    </row>
    <row r="4" spans="1:28" x14ac:dyDescent="0.25">
      <c r="A4" s="118" t="s">
        <v>131</v>
      </c>
      <c r="B4" s="119"/>
      <c r="C4" s="119"/>
      <c r="D4" s="120"/>
      <c r="E4" s="124" t="s">
        <v>135</v>
      </c>
      <c r="F4" s="125"/>
      <c r="G4" s="125"/>
      <c r="H4" s="125"/>
      <c r="I4" s="125"/>
      <c r="J4" s="125"/>
      <c r="K4" s="125"/>
      <c r="L4" s="126"/>
      <c r="M4" s="130" t="s">
        <v>136</v>
      </c>
      <c r="N4" s="131"/>
      <c r="O4" s="131"/>
      <c r="P4" s="131"/>
      <c r="Q4" s="131"/>
      <c r="R4" s="131"/>
      <c r="S4" s="131"/>
      <c r="T4" s="132"/>
      <c r="U4" s="136" t="s">
        <v>137</v>
      </c>
      <c r="V4" s="137"/>
      <c r="W4" s="137"/>
      <c r="X4" s="137"/>
      <c r="Y4" s="137"/>
      <c r="Z4" s="138"/>
      <c r="AA4" s="142" t="s">
        <v>140</v>
      </c>
      <c r="AB4" s="143"/>
    </row>
    <row r="5" spans="1:28" x14ac:dyDescent="0.25">
      <c r="A5" s="121"/>
      <c r="B5" s="122"/>
      <c r="C5" s="122"/>
      <c r="D5" s="123"/>
      <c r="E5" s="127"/>
      <c r="F5" s="128"/>
      <c r="G5" s="128"/>
      <c r="H5" s="128"/>
      <c r="I5" s="128"/>
      <c r="J5" s="128"/>
      <c r="K5" s="128"/>
      <c r="L5" s="129"/>
      <c r="M5" s="133"/>
      <c r="N5" s="134"/>
      <c r="O5" s="134"/>
      <c r="P5" s="134"/>
      <c r="Q5" s="134"/>
      <c r="R5" s="134"/>
      <c r="S5" s="134"/>
      <c r="T5" s="135"/>
      <c r="U5" s="139"/>
      <c r="V5" s="140"/>
      <c r="W5" s="140"/>
      <c r="X5" s="140"/>
      <c r="Y5" s="140"/>
      <c r="Z5" s="141"/>
      <c r="AA5" s="144"/>
      <c r="AB5" s="145"/>
    </row>
    <row r="6" spans="1:28" s="26" customFormat="1" ht="45" x14ac:dyDescent="0.25">
      <c r="A6" s="112" t="s">
        <v>0</v>
      </c>
      <c r="B6" s="112" t="s">
        <v>1</v>
      </c>
      <c r="C6" s="112" t="s">
        <v>128</v>
      </c>
      <c r="D6" s="113" t="s">
        <v>2</v>
      </c>
      <c r="E6" s="114" t="s">
        <v>3</v>
      </c>
      <c r="F6" s="112" t="s">
        <v>5</v>
      </c>
      <c r="G6" s="10" t="s">
        <v>132</v>
      </c>
      <c r="H6" s="10" t="s">
        <v>4</v>
      </c>
      <c r="I6" s="10" t="s">
        <v>133</v>
      </c>
      <c r="J6" s="10" t="s">
        <v>405</v>
      </c>
      <c r="K6" s="10" t="s">
        <v>134</v>
      </c>
      <c r="L6" s="44" t="s">
        <v>65</v>
      </c>
      <c r="M6" s="45" t="s">
        <v>35</v>
      </c>
      <c r="N6" s="23" t="s">
        <v>36</v>
      </c>
      <c r="O6" s="24" t="s">
        <v>41</v>
      </c>
      <c r="P6" s="25" t="s">
        <v>42</v>
      </c>
      <c r="Q6" s="10" t="s">
        <v>37</v>
      </c>
      <c r="R6" s="23" t="s">
        <v>38</v>
      </c>
      <c r="S6" s="24" t="s">
        <v>41</v>
      </c>
      <c r="T6" s="46" t="s">
        <v>43</v>
      </c>
      <c r="U6" s="45" t="s">
        <v>167</v>
      </c>
      <c r="V6" s="10" t="s">
        <v>119</v>
      </c>
      <c r="W6" s="10" t="s">
        <v>118</v>
      </c>
      <c r="X6" s="24" t="s">
        <v>55</v>
      </c>
      <c r="Y6" s="23" t="s">
        <v>11</v>
      </c>
      <c r="Z6" s="44" t="s">
        <v>10</v>
      </c>
      <c r="AA6" s="47" t="s">
        <v>139</v>
      </c>
      <c r="AB6" s="44" t="s">
        <v>85</v>
      </c>
    </row>
    <row r="7" spans="1:28" ht="22.15" customHeight="1" x14ac:dyDescent="0.25">
      <c r="A7" s="9">
        <v>6</v>
      </c>
      <c r="B7" s="3" t="s">
        <v>192</v>
      </c>
      <c r="C7" s="3" t="s">
        <v>16</v>
      </c>
      <c r="D7" s="28">
        <f>29+15+7+1+10+5</f>
        <v>67</v>
      </c>
      <c r="E7" s="29">
        <v>45953</v>
      </c>
      <c r="F7" s="3">
        <v>260</v>
      </c>
      <c r="G7" s="13">
        <f ca="1">B$3-E7</f>
        <v>187</v>
      </c>
      <c r="H7" s="13">
        <f>(K7-F7)/J7</f>
        <v>207.40740740740739</v>
      </c>
      <c r="I7" s="13">
        <f ca="1">F7+(G7*J7)</f>
        <v>512.45000000000005</v>
      </c>
      <c r="J7" s="9">
        <v>1.35</v>
      </c>
      <c r="K7" s="3">
        <v>540</v>
      </c>
      <c r="L7" s="97">
        <f ca="1">F7+(G7*J7)</f>
        <v>512.45000000000005</v>
      </c>
      <c r="M7" s="64">
        <v>60</v>
      </c>
      <c r="N7" s="8">
        <f>E7+M7</f>
        <v>46013</v>
      </c>
      <c r="O7" s="13"/>
      <c r="P7" s="22"/>
      <c r="Q7" s="3">
        <v>120</v>
      </c>
      <c r="R7" s="8">
        <f>E7+Q7</f>
        <v>46073</v>
      </c>
      <c r="S7" s="13"/>
      <c r="T7" s="31"/>
      <c r="U7" s="33">
        <f>(((320-F7)/J7))</f>
        <v>44.444444444444443</v>
      </c>
      <c r="V7" s="8">
        <v>45996</v>
      </c>
      <c r="W7" s="8">
        <f>V7+$W$3</f>
        <v>46010</v>
      </c>
      <c r="X7" s="13">
        <f>Y7-V7</f>
        <v>132</v>
      </c>
      <c r="Y7" s="8">
        <v>46128</v>
      </c>
      <c r="Z7" s="28">
        <v>35</v>
      </c>
      <c r="AA7" s="29">
        <f>E7+H7</f>
        <v>46160.407407407409</v>
      </c>
      <c r="AB7" s="52">
        <f>_xlfn.ISOWEEKNUM(AA7)</f>
        <v>21</v>
      </c>
    </row>
    <row r="8" spans="1:28" ht="22.15" customHeight="1" x14ac:dyDescent="0.25">
      <c r="A8" s="9">
        <v>8</v>
      </c>
      <c r="B8" s="3"/>
      <c r="C8" s="3"/>
      <c r="D8" s="28"/>
      <c r="E8" s="29"/>
      <c r="F8" s="3"/>
      <c r="G8" s="13"/>
      <c r="H8" s="13"/>
      <c r="I8" s="13"/>
      <c r="J8" s="9"/>
      <c r="K8" s="3"/>
      <c r="L8" s="97"/>
      <c r="M8" s="64"/>
      <c r="N8" s="8"/>
      <c r="O8" s="13"/>
      <c r="P8" s="22"/>
      <c r="Q8" s="3"/>
      <c r="R8" s="8"/>
      <c r="S8" s="13"/>
      <c r="T8" s="31"/>
      <c r="U8" s="33"/>
      <c r="V8" s="8"/>
      <c r="W8" s="8"/>
      <c r="X8" s="13"/>
      <c r="Y8" s="8"/>
      <c r="Z8" s="28"/>
      <c r="AA8" s="29"/>
      <c r="AB8" s="53"/>
    </row>
    <row r="9" spans="1:28" ht="22.9" customHeight="1" x14ac:dyDescent="0.25">
      <c r="A9" s="9">
        <v>10</v>
      </c>
      <c r="B9" s="86" t="s">
        <v>292</v>
      </c>
      <c r="C9" s="3" t="s">
        <v>6</v>
      </c>
      <c r="D9" s="28">
        <v>40</v>
      </c>
      <c r="E9" s="29">
        <v>45958</v>
      </c>
      <c r="F9" s="3">
        <v>315</v>
      </c>
      <c r="G9" s="13">
        <f ca="1">B$3-E9</f>
        <v>182</v>
      </c>
      <c r="H9" s="13">
        <f>(K9-F9)/J9</f>
        <v>170.96774193548387</v>
      </c>
      <c r="I9" s="13">
        <f ca="1">F9+(G9*J9)</f>
        <v>597.1</v>
      </c>
      <c r="J9" s="9">
        <v>1.55</v>
      </c>
      <c r="K9" s="3">
        <v>580</v>
      </c>
      <c r="L9" s="97">
        <f ca="1">F9+(G9*J9)</f>
        <v>597.1</v>
      </c>
      <c r="M9" s="64">
        <v>60</v>
      </c>
      <c r="N9" s="8">
        <f>E9+M9</f>
        <v>46018</v>
      </c>
      <c r="O9" s="13"/>
      <c r="P9" s="22"/>
      <c r="Q9" s="3">
        <v>120</v>
      </c>
      <c r="R9" s="8">
        <f>E9+Q9</f>
        <v>46078</v>
      </c>
      <c r="S9" s="13"/>
      <c r="T9" s="31"/>
      <c r="U9" s="33">
        <f>(((370-F9)/J9))</f>
        <v>35.483870967741936</v>
      </c>
      <c r="V9" s="8">
        <f>E9+U9</f>
        <v>45993.483870967742</v>
      </c>
      <c r="W9" s="8">
        <f>V9+$W$3</f>
        <v>46007.483870967742</v>
      </c>
      <c r="X9" s="13">
        <f>Y9-V9</f>
        <v>105.5161290322576</v>
      </c>
      <c r="Y9" s="8">
        <v>46099</v>
      </c>
      <c r="Z9" s="28">
        <v>35</v>
      </c>
      <c r="AA9" s="29">
        <f>Y9+Z9</f>
        <v>46134</v>
      </c>
      <c r="AB9" s="52">
        <f>_xlfn.ISOWEEKNUM(AA9)</f>
        <v>17</v>
      </c>
    </row>
    <row r="10" spans="1:28" ht="22.15" customHeight="1" x14ac:dyDescent="0.25">
      <c r="A10" s="9">
        <v>11</v>
      </c>
      <c r="B10" s="86" t="s">
        <v>216</v>
      </c>
      <c r="C10" s="3" t="s">
        <v>16</v>
      </c>
      <c r="D10" s="28">
        <f>2+1+8+4+14+9+2-1+2+2+2+5</f>
        <v>50</v>
      </c>
      <c r="E10" s="29">
        <v>45995</v>
      </c>
      <c r="F10" s="3">
        <v>330</v>
      </c>
      <c r="G10" s="3">
        <f ca="1">B$3-E10</f>
        <v>145</v>
      </c>
      <c r="H10" s="13">
        <f>(K10-F10)/J10</f>
        <v>150</v>
      </c>
      <c r="I10" s="13">
        <f ca="1">F10+(G10*J10)</f>
        <v>533</v>
      </c>
      <c r="J10" s="9">
        <v>1.4</v>
      </c>
      <c r="K10" s="3">
        <v>540</v>
      </c>
      <c r="L10" s="97">
        <f ca="1">F10+(G10*J10)</f>
        <v>533</v>
      </c>
      <c r="M10" s="64">
        <v>60</v>
      </c>
      <c r="N10" s="8">
        <f>E10+M10</f>
        <v>46055</v>
      </c>
      <c r="O10" s="13"/>
      <c r="P10" s="22"/>
      <c r="Q10" s="3"/>
      <c r="R10" s="8"/>
      <c r="S10" s="13"/>
      <c r="T10" s="31"/>
      <c r="U10" s="33">
        <f>(((320-F10)/J10))</f>
        <v>-7.1428571428571432</v>
      </c>
      <c r="V10" s="8">
        <v>46060</v>
      </c>
      <c r="W10" s="8">
        <f>V10+$W$3</f>
        <v>46074</v>
      </c>
      <c r="X10" s="13">
        <f>Y10-V10</f>
        <v>48</v>
      </c>
      <c r="Y10" s="8">
        <v>46108</v>
      </c>
      <c r="Z10" s="28">
        <v>35</v>
      </c>
      <c r="AA10" s="29">
        <f>E10+H10</f>
        <v>46145</v>
      </c>
      <c r="AB10" s="52">
        <f>_xlfn.ISOWEEKNUM(AA10)</f>
        <v>18</v>
      </c>
    </row>
    <row r="11" spans="1:28" ht="22.15" customHeight="1" x14ac:dyDescent="0.25">
      <c r="A11" s="9">
        <v>12</v>
      </c>
      <c r="B11" s="3"/>
      <c r="C11" s="3"/>
      <c r="D11" s="28"/>
      <c r="E11" s="29"/>
      <c r="F11" s="3"/>
      <c r="G11" s="3"/>
      <c r="H11" s="13"/>
      <c r="I11" s="13"/>
      <c r="J11" s="9"/>
      <c r="K11" s="3"/>
      <c r="L11" s="97"/>
      <c r="M11" s="64"/>
      <c r="N11" s="8"/>
      <c r="O11" s="13"/>
      <c r="P11" s="22"/>
      <c r="Q11" s="3"/>
      <c r="R11" s="8"/>
      <c r="S11" s="13"/>
      <c r="T11" s="31"/>
      <c r="U11" s="33"/>
      <c r="V11" s="8"/>
      <c r="W11" s="8"/>
      <c r="X11" s="13"/>
      <c r="Y11" s="8"/>
      <c r="Z11" s="28"/>
      <c r="AA11" s="29"/>
      <c r="AB11" s="53"/>
    </row>
    <row r="12" spans="1:28" ht="22.15" customHeight="1" x14ac:dyDescent="0.25">
      <c r="A12" s="9">
        <v>13</v>
      </c>
      <c r="B12" s="3" t="s">
        <v>240</v>
      </c>
      <c r="C12" s="3" t="s">
        <v>6</v>
      </c>
      <c r="D12" s="28">
        <v>65</v>
      </c>
      <c r="E12" s="29">
        <v>45982</v>
      </c>
      <c r="F12" s="3">
        <v>289</v>
      </c>
      <c r="G12" s="13">
        <f ca="1">B$3-E12</f>
        <v>158</v>
      </c>
      <c r="H12" s="13">
        <f>(K12-F12)/J12</f>
        <v>161.66666666666666</v>
      </c>
      <c r="I12" s="13">
        <f ca="1">F12+(G12*J12)</f>
        <v>573.40000000000009</v>
      </c>
      <c r="J12" s="9">
        <v>1.8</v>
      </c>
      <c r="K12" s="3">
        <v>580</v>
      </c>
      <c r="L12" s="97">
        <f ca="1">F12+(G12*J12)</f>
        <v>573.40000000000009</v>
      </c>
      <c r="M12" s="64">
        <v>60</v>
      </c>
      <c r="N12" s="8">
        <f>E12+M12</f>
        <v>46042</v>
      </c>
      <c r="O12" s="13"/>
      <c r="P12" s="22"/>
      <c r="Q12" s="3">
        <v>120</v>
      </c>
      <c r="R12" s="8">
        <f>E12+Q12</f>
        <v>46102</v>
      </c>
      <c r="S12" s="13"/>
      <c r="T12" s="31"/>
      <c r="U12" s="33">
        <f>(((370-F12)/J12))</f>
        <v>45</v>
      </c>
      <c r="V12" s="8">
        <v>46031</v>
      </c>
      <c r="W12" s="8">
        <f>V12+$W$3</f>
        <v>46045</v>
      </c>
      <c r="X12" s="13">
        <f>Y12-V12</f>
        <v>77.666666666664241</v>
      </c>
      <c r="Y12" s="8">
        <f>AA12-Z12</f>
        <v>46108.666666666664</v>
      </c>
      <c r="Z12" s="28">
        <v>35</v>
      </c>
      <c r="AA12" s="29">
        <f>E12+H12</f>
        <v>46143.666666666664</v>
      </c>
      <c r="AB12" s="52">
        <f>_xlfn.ISOWEEKNUM(AA12)</f>
        <v>18</v>
      </c>
    </row>
    <row r="13" spans="1:28" ht="22.15" customHeight="1" x14ac:dyDescent="0.25">
      <c r="A13" s="9">
        <v>14</v>
      </c>
      <c r="B13" s="86" t="s">
        <v>151</v>
      </c>
      <c r="C13" s="3" t="s">
        <v>6</v>
      </c>
      <c r="D13" s="28">
        <f>52+3+3</f>
        <v>58</v>
      </c>
      <c r="E13" s="29">
        <v>45939</v>
      </c>
      <c r="F13" s="3">
        <v>254</v>
      </c>
      <c r="G13" s="13">
        <f ca="1">B$3-E13</f>
        <v>201</v>
      </c>
      <c r="H13" s="13">
        <f>(K13-F13)/J13</f>
        <v>224.82758620689657</v>
      </c>
      <c r="I13" s="13">
        <f ca="1">F13+(G13*J13)</f>
        <v>545.45000000000005</v>
      </c>
      <c r="J13" s="9">
        <v>1.45</v>
      </c>
      <c r="K13" s="3">
        <v>580</v>
      </c>
      <c r="L13" s="97">
        <f ca="1">F13+(G13*J13)</f>
        <v>545.45000000000005</v>
      </c>
      <c r="M13" s="64">
        <v>60</v>
      </c>
      <c r="N13" s="8">
        <f>E13+M13</f>
        <v>45999</v>
      </c>
      <c r="O13" s="13"/>
      <c r="P13" s="22"/>
      <c r="Q13" s="3">
        <v>120</v>
      </c>
      <c r="R13" s="8">
        <f>E13+Q13</f>
        <v>46059</v>
      </c>
      <c r="S13" s="13"/>
      <c r="T13" s="31"/>
      <c r="U13" s="33">
        <f>(((370-F13)/J13))</f>
        <v>80</v>
      </c>
      <c r="V13" s="8">
        <f>E13+U13</f>
        <v>46019</v>
      </c>
      <c r="W13" s="8">
        <f>V13+$W$3</f>
        <v>46033</v>
      </c>
      <c r="X13" s="13">
        <f>Y13-V13</f>
        <v>109.82758620689856</v>
      </c>
      <c r="Y13" s="8">
        <f>AA13-Z13</f>
        <v>46128.827586206899</v>
      </c>
      <c r="Z13" s="28">
        <v>35</v>
      </c>
      <c r="AA13" s="29">
        <f>E13+H13</f>
        <v>46163.827586206899</v>
      </c>
      <c r="AB13" s="52">
        <f>_xlfn.ISOWEEKNUM(AA13)</f>
        <v>21</v>
      </c>
    </row>
    <row r="14" spans="1:28" ht="22.15" customHeight="1" x14ac:dyDescent="0.25">
      <c r="A14" s="9">
        <v>15</v>
      </c>
      <c r="B14" s="3"/>
      <c r="C14" s="3"/>
      <c r="D14" s="28"/>
      <c r="E14" s="29"/>
      <c r="F14" s="3"/>
      <c r="G14" s="13"/>
      <c r="H14" s="13"/>
      <c r="I14" s="13"/>
      <c r="J14" s="9"/>
      <c r="K14" s="3"/>
      <c r="L14" s="97"/>
      <c r="M14" s="64"/>
      <c r="N14" s="8"/>
      <c r="O14" s="13"/>
      <c r="P14" s="22"/>
      <c r="Q14" s="3"/>
      <c r="R14" s="8"/>
      <c r="S14" s="13"/>
      <c r="T14" s="31"/>
      <c r="U14" s="33"/>
      <c r="V14" s="8"/>
      <c r="W14" s="8"/>
      <c r="X14" s="13"/>
      <c r="Y14" s="8"/>
      <c r="Z14" s="28"/>
      <c r="AA14" s="29"/>
      <c r="AB14" s="53"/>
    </row>
    <row r="15" spans="1:28" ht="22.15" customHeight="1" x14ac:dyDescent="0.25">
      <c r="A15" s="9">
        <v>16</v>
      </c>
      <c r="B15" s="3" t="s">
        <v>271</v>
      </c>
      <c r="C15" s="3" t="s">
        <v>6</v>
      </c>
      <c r="D15" s="28">
        <f>12+5+1+3+2</f>
        <v>23</v>
      </c>
      <c r="E15" s="29">
        <v>46041</v>
      </c>
      <c r="F15" s="3">
        <v>372</v>
      </c>
      <c r="G15" s="3">
        <f ca="1">B$3-E15</f>
        <v>99</v>
      </c>
      <c r="H15" s="13">
        <f>(K15-F15)/J15</f>
        <v>115.55555555555556</v>
      </c>
      <c r="I15" s="13">
        <f ca="1">F15+(G15*J15)</f>
        <v>550.20000000000005</v>
      </c>
      <c r="J15" s="9">
        <v>1.8</v>
      </c>
      <c r="K15" s="3">
        <v>580</v>
      </c>
      <c r="L15" s="97">
        <f ca="1">F15+(G15*J15)</f>
        <v>550.20000000000005</v>
      </c>
      <c r="M15" s="64">
        <v>60</v>
      </c>
      <c r="N15" s="8">
        <f>E15+M15</f>
        <v>46101</v>
      </c>
      <c r="O15" s="13"/>
      <c r="P15" s="22"/>
      <c r="Q15" s="3"/>
      <c r="R15" s="8"/>
      <c r="S15" s="13"/>
      <c r="T15" s="31"/>
      <c r="U15" s="33">
        <f>(((370-F15)/J15))</f>
        <v>-1.1111111111111112</v>
      </c>
      <c r="V15" s="8">
        <v>46043</v>
      </c>
      <c r="W15" s="8">
        <f>V15+$W$3</f>
        <v>46057</v>
      </c>
      <c r="X15" s="13">
        <f>Y15-V15</f>
        <v>72</v>
      </c>
      <c r="Y15" s="8">
        <v>46115</v>
      </c>
      <c r="Z15" s="28">
        <v>35</v>
      </c>
      <c r="AA15" s="29">
        <f>Y15+Z15</f>
        <v>46150</v>
      </c>
      <c r="AB15" s="52">
        <f>_xlfn.ISOWEEKNUM(AA15)</f>
        <v>19</v>
      </c>
    </row>
    <row r="16" spans="1:28" ht="22.15" customHeight="1" x14ac:dyDescent="0.25">
      <c r="A16" s="9">
        <v>17</v>
      </c>
      <c r="B16" s="3"/>
      <c r="C16" s="3"/>
      <c r="D16" s="28"/>
      <c r="E16" s="29"/>
      <c r="F16" s="3"/>
      <c r="G16" s="13"/>
      <c r="H16" s="13"/>
      <c r="I16" s="13"/>
      <c r="J16" s="9"/>
      <c r="K16" s="3"/>
      <c r="L16" s="97"/>
      <c r="M16" s="64"/>
      <c r="N16" s="8"/>
      <c r="O16" s="13"/>
      <c r="P16" s="22"/>
      <c r="Q16" s="3"/>
      <c r="R16" s="8"/>
      <c r="S16" s="13"/>
      <c r="T16" s="31"/>
      <c r="U16" s="33"/>
      <c r="V16" s="8"/>
      <c r="W16" s="8"/>
      <c r="X16" s="13"/>
      <c r="Y16" s="8"/>
      <c r="Z16" s="28"/>
      <c r="AA16" s="29"/>
      <c r="AB16" s="53"/>
    </row>
    <row r="17" spans="1:29" ht="22.15" customHeight="1" x14ac:dyDescent="0.25">
      <c r="A17" s="9">
        <v>18</v>
      </c>
      <c r="B17" s="86" t="s">
        <v>369</v>
      </c>
      <c r="C17" s="3" t="s">
        <v>12</v>
      </c>
      <c r="D17" s="28">
        <f>20+12+10</f>
        <v>42</v>
      </c>
      <c r="E17" s="29">
        <v>46076</v>
      </c>
      <c r="F17" s="3">
        <v>393</v>
      </c>
      <c r="G17" s="13">
        <f ca="1">B$3-E17</f>
        <v>64</v>
      </c>
      <c r="H17" s="13">
        <v>90</v>
      </c>
      <c r="I17" s="13">
        <f ca="1">F17+(G17*J17)</f>
        <v>495.4</v>
      </c>
      <c r="J17" s="9">
        <v>1.6</v>
      </c>
      <c r="K17" s="13">
        <f>(J17*H17)+F17</f>
        <v>537</v>
      </c>
      <c r="L17" s="97">
        <f ca="1">F17+(G17*J17)</f>
        <v>495.4</v>
      </c>
      <c r="M17" s="64"/>
      <c r="N17" s="8"/>
      <c r="O17" s="13"/>
      <c r="P17" s="22"/>
      <c r="Q17" s="3"/>
      <c r="R17" s="8"/>
      <c r="S17" s="13"/>
      <c r="T17" s="31"/>
      <c r="U17" s="33">
        <v>0</v>
      </c>
      <c r="V17" s="8">
        <v>46094</v>
      </c>
      <c r="W17" s="8">
        <f>V17+$W$3</f>
        <v>46108</v>
      </c>
      <c r="X17" s="13">
        <f>Y17-V17</f>
        <v>34</v>
      </c>
      <c r="Y17" s="8">
        <v>46128</v>
      </c>
      <c r="Z17" s="28">
        <v>35</v>
      </c>
      <c r="AA17" s="29">
        <f>E17+H17</f>
        <v>46166</v>
      </c>
      <c r="AB17" s="52">
        <f>_xlfn.ISOWEEKNUM(AA17)</f>
        <v>21</v>
      </c>
    </row>
    <row r="18" spans="1:29" ht="22.15" customHeight="1" x14ac:dyDescent="0.25">
      <c r="A18" s="9">
        <v>25</v>
      </c>
      <c r="B18" s="86" t="s">
        <v>309</v>
      </c>
      <c r="C18" s="3" t="s">
        <v>16</v>
      </c>
      <c r="D18" s="43">
        <f>1+1+7+1+1+1+2+2+4+8+1+13+1</f>
        <v>43</v>
      </c>
      <c r="E18" s="29">
        <v>46125</v>
      </c>
      <c r="F18" s="3">
        <v>170</v>
      </c>
      <c r="G18" s="3">
        <f ca="1">B$3-E18</f>
        <v>15</v>
      </c>
      <c r="H18" s="13"/>
      <c r="I18" s="13"/>
      <c r="J18" s="9"/>
      <c r="K18" s="3"/>
      <c r="L18" s="97"/>
      <c r="M18" s="64"/>
      <c r="N18" s="8"/>
      <c r="O18" s="13"/>
      <c r="P18" s="22"/>
      <c r="Q18" s="3"/>
      <c r="R18" s="8"/>
      <c r="S18" s="13"/>
      <c r="T18" s="31"/>
      <c r="U18" s="33"/>
      <c r="V18" s="8"/>
      <c r="W18" s="8"/>
      <c r="X18" s="13"/>
      <c r="Y18" s="8"/>
      <c r="Z18" s="28"/>
      <c r="AA18" s="29"/>
      <c r="AB18" s="28"/>
    </row>
    <row r="19" spans="1:29" ht="22.9" customHeight="1" x14ac:dyDescent="0.25">
      <c r="A19" s="108">
        <v>26</v>
      </c>
      <c r="B19" s="109" t="s">
        <v>461</v>
      </c>
      <c r="C19" s="109" t="s">
        <v>6</v>
      </c>
      <c r="D19" s="110">
        <v>63</v>
      </c>
      <c r="E19" s="111">
        <v>46129</v>
      </c>
      <c r="F19" s="3"/>
      <c r="G19" s="3">
        <f ca="1">B$3-E19</f>
        <v>11</v>
      </c>
      <c r="H19" s="13"/>
      <c r="I19" s="13"/>
      <c r="J19" s="9"/>
      <c r="K19" s="3"/>
      <c r="L19" s="97"/>
      <c r="M19" s="64"/>
      <c r="N19" s="8"/>
      <c r="O19" s="13"/>
      <c r="P19" s="22"/>
      <c r="Q19" s="3"/>
      <c r="R19" s="8"/>
      <c r="S19" s="13"/>
      <c r="T19" s="31"/>
      <c r="U19" s="33"/>
      <c r="V19" s="8"/>
      <c r="W19" s="8"/>
      <c r="X19" s="13"/>
      <c r="Y19" s="8"/>
      <c r="Z19" s="28"/>
      <c r="AA19" s="29"/>
      <c r="AB19" s="28"/>
      <c r="AC19" s="2"/>
    </row>
    <row r="20" spans="1:29" ht="22.15" customHeight="1" x14ac:dyDescent="0.25">
      <c r="A20" s="9">
        <v>27</v>
      </c>
      <c r="B20" s="86" t="s">
        <v>391</v>
      </c>
      <c r="C20" s="3" t="s">
        <v>6</v>
      </c>
      <c r="D20" s="60">
        <f>2+5+1</f>
        <v>8</v>
      </c>
      <c r="E20" s="29">
        <v>46085</v>
      </c>
      <c r="F20" s="3">
        <v>342</v>
      </c>
      <c r="G20" s="3"/>
      <c r="H20" s="13"/>
      <c r="I20" s="13"/>
      <c r="J20" s="9"/>
      <c r="K20" s="3"/>
      <c r="L20" s="97"/>
      <c r="M20" s="64"/>
      <c r="N20" s="8"/>
      <c r="O20" s="13"/>
      <c r="P20" s="22"/>
      <c r="Q20" s="3"/>
      <c r="R20" s="8"/>
      <c r="S20" s="13"/>
      <c r="T20" s="31"/>
      <c r="U20" s="33"/>
      <c r="V20" s="8"/>
      <c r="W20" s="8"/>
      <c r="X20" s="13"/>
      <c r="Y20" s="8"/>
      <c r="Z20" s="28"/>
      <c r="AA20" s="29"/>
      <c r="AB20" s="28"/>
      <c r="AC20" s="7"/>
    </row>
    <row r="21" spans="1:29" ht="22.15" customHeight="1" x14ac:dyDescent="0.25">
      <c r="A21" s="108">
        <v>28</v>
      </c>
      <c r="B21" s="109"/>
      <c r="C21" s="109" t="s">
        <v>6</v>
      </c>
      <c r="D21" s="110">
        <v>60</v>
      </c>
      <c r="E21" s="111">
        <v>46129</v>
      </c>
      <c r="F21" s="3"/>
      <c r="G21" s="3"/>
      <c r="H21" s="13"/>
      <c r="I21" s="13"/>
      <c r="J21" s="9"/>
      <c r="K21" s="3"/>
      <c r="L21" s="97"/>
      <c r="M21" s="64"/>
      <c r="N21" s="8"/>
      <c r="O21" s="13"/>
      <c r="P21" s="22"/>
      <c r="Q21" s="3"/>
      <c r="R21" s="8"/>
      <c r="S21" s="13"/>
      <c r="T21" s="31"/>
      <c r="U21" s="33"/>
      <c r="V21" s="8"/>
      <c r="W21" s="8"/>
      <c r="X21" s="13"/>
      <c r="Y21" s="8"/>
      <c r="Z21" s="28"/>
      <c r="AA21" s="29"/>
      <c r="AB21" s="28"/>
      <c r="AC21" s="7"/>
    </row>
    <row r="22" spans="1:29" ht="22.15" customHeight="1" x14ac:dyDescent="0.25">
      <c r="A22" s="9">
        <v>29</v>
      </c>
      <c r="B22" s="86" t="s">
        <v>390</v>
      </c>
      <c r="C22" s="3" t="s">
        <v>6</v>
      </c>
      <c r="D22" s="60">
        <f>4+3</f>
        <v>7</v>
      </c>
      <c r="E22" s="29">
        <v>46083</v>
      </c>
      <c r="F22" s="3">
        <v>401</v>
      </c>
      <c r="G22" s="3"/>
      <c r="H22" s="13"/>
      <c r="I22" s="13"/>
      <c r="J22" s="9"/>
      <c r="K22" s="3"/>
      <c r="L22" s="97"/>
      <c r="M22" s="64"/>
      <c r="N22" s="8"/>
      <c r="O22" s="13"/>
      <c r="P22" s="22"/>
      <c r="Q22" s="3"/>
      <c r="R22" s="8"/>
      <c r="S22" s="13"/>
      <c r="T22" s="31"/>
      <c r="U22" s="33"/>
      <c r="V22" s="8"/>
      <c r="W22" s="8"/>
      <c r="X22" s="13"/>
      <c r="Y22" s="8"/>
      <c r="Z22" s="28"/>
      <c r="AA22" s="29"/>
      <c r="AB22" s="28"/>
    </row>
    <row r="23" spans="1:29" ht="22.15" customHeight="1" x14ac:dyDescent="0.25">
      <c r="A23" s="9">
        <v>30</v>
      </c>
      <c r="B23" s="3"/>
      <c r="C23" s="3"/>
      <c r="D23" s="28"/>
      <c r="E23" s="29"/>
      <c r="F23" s="3"/>
      <c r="G23" s="3"/>
      <c r="H23" s="13"/>
      <c r="I23" s="13"/>
      <c r="J23" s="9"/>
      <c r="K23" s="3"/>
      <c r="L23" s="97"/>
      <c r="M23" s="64"/>
      <c r="N23" s="8"/>
      <c r="O23" s="13"/>
      <c r="P23" s="22"/>
      <c r="Q23" s="3"/>
      <c r="R23" s="8"/>
      <c r="S23" s="13"/>
      <c r="T23" s="31"/>
      <c r="U23" s="33"/>
      <c r="V23" s="8"/>
      <c r="W23" s="8"/>
      <c r="X23" s="13"/>
      <c r="Y23" s="8"/>
      <c r="Z23" s="28"/>
      <c r="AA23" s="29"/>
      <c r="AB23" s="28"/>
    </row>
    <row r="24" spans="1:29" ht="22.15" customHeight="1" x14ac:dyDescent="0.25">
      <c r="A24" s="9">
        <v>31</v>
      </c>
      <c r="B24" s="86" t="s">
        <v>444</v>
      </c>
      <c r="C24" s="3" t="s">
        <v>6</v>
      </c>
      <c r="D24" s="60">
        <v>37</v>
      </c>
      <c r="E24" s="29">
        <v>46127</v>
      </c>
      <c r="F24" s="3">
        <v>278</v>
      </c>
      <c r="G24" s="3"/>
      <c r="H24" s="13"/>
      <c r="I24" s="13"/>
      <c r="J24" s="9"/>
      <c r="K24" s="3"/>
      <c r="L24" s="97"/>
      <c r="M24" s="115"/>
      <c r="N24" s="116"/>
      <c r="O24" s="13"/>
      <c r="P24" s="22"/>
      <c r="Q24" s="3"/>
      <c r="R24" s="8"/>
      <c r="S24" s="13"/>
      <c r="T24" s="31"/>
      <c r="U24" s="33"/>
      <c r="V24" s="8"/>
      <c r="W24" s="8"/>
      <c r="X24" s="13"/>
      <c r="Y24" s="8"/>
      <c r="Z24" s="28"/>
      <c r="AA24" s="29"/>
      <c r="AB24" s="28"/>
    </row>
    <row r="25" spans="1:29" ht="21.6" customHeight="1" x14ac:dyDescent="0.25">
      <c r="A25" s="9">
        <v>32</v>
      </c>
      <c r="B25" s="86" t="s">
        <v>404</v>
      </c>
      <c r="C25" s="3" t="s">
        <v>16</v>
      </c>
      <c r="D25" s="28">
        <f>4+1+1+1+3+31+7+20</f>
        <v>68</v>
      </c>
      <c r="E25" s="29">
        <v>46121</v>
      </c>
      <c r="F25" s="13">
        <v>212</v>
      </c>
      <c r="G25" s="3">
        <f t="shared" ref="G25:G32" ca="1" si="0">B$3-E25</f>
        <v>19</v>
      </c>
      <c r="H25" s="13">
        <f t="shared" ref="H25:H32" si="1">(K25-F25)/J25</f>
        <v>242.96296296296293</v>
      </c>
      <c r="I25" s="13">
        <f t="shared" ref="I25:I32" ca="1" si="2">F25+(G25*J25)</f>
        <v>237.65</v>
      </c>
      <c r="J25" s="9">
        <v>1.35</v>
      </c>
      <c r="K25" s="3">
        <v>540</v>
      </c>
      <c r="L25" s="97">
        <f t="shared" ref="L25:L32" ca="1" si="3">F25+(G25*J25)</f>
        <v>237.65</v>
      </c>
      <c r="M25" s="64">
        <v>60</v>
      </c>
      <c r="N25" s="8">
        <f>E25+M25</f>
        <v>46181</v>
      </c>
      <c r="O25" s="13"/>
      <c r="P25" s="22"/>
      <c r="Q25" s="3">
        <v>120</v>
      </c>
      <c r="R25" s="8">
        <f>E25+Q25</f>
        <v>46241</v>
      </c>
      <c r="S25" s="13"/>
      <c r="T25" s="31"/>
      <c r="U25" s="33">
        <f>(((320-F25)/J25))</f>
        <v>80</v>
      </c>
      <c r="V25" s="8">
        <v>46060</v>
      </c>
      <c r="W25" s="8">
        <f t="shared" ref="W25:W32" si="4">V25+$W$3</f>
        <v>46074</v>
      </c>
      <c r="X25" s="13">
        <f t="shared" ref="X25:X32" si="5">Y25-V25</f>
        <v>268.9629629629635</v>
      </c>
      <c r="Y25" s="8">
        <f>AA25-Z25</f>
        <v>46328.962962962964</v>
      </c>
      <c r="Z25" s="28">
        <v>35</v>
      </c>
      <c r="AA25" s="29">
        <f>E25+H25</f>
        <v>46363.962962962964</v>
      </c>
      <c r="AB25" s="28">
        <f t="shared" ref="AB25:AB32" si="6">_xlfn.ISOWEEKNUM(AA25)</f>
        <v>50</v>
      </c>
    </row>
    <row r="26" spans="1:29" ht="22.15" customHeight="1" x14ac:dyDescent="0.25">
      <c r="A26" s="9">
        <v>33</v>
      </c>
      <c r="B26" s="86" t="s">
        <v>417</v>
      </c>
      <c r="C26" s="3" t="s">
        <v>16</v>
      </c>
      <c r="D26" s="28">
        <f>7+21+37</f>
        <v>65</v>
      </c>
      <c r="E26" s="29">
        <v>46111</v>
      </c>
      <c r="F26" s="3">
        <v>259</v>
      </c>
      <c r="G26" s="3">
        <f t="shared" ca="1" si="0"/>
        <v>29</v>
      </c>
      <c r="H26" s="13">
        <f t="shared" si="1"/>
        <v>208.14814814814812</v>
      </c>
      <c r="I26" s="13">
        <f t="shared" ca="1" si="2"/>
        <v>298.14999999999998</v>
      </c>
      <c r="J26" s="9">
        <v>1.35</v>
      </c>
      <c r="K26" s="3">
        <v>540</v>
      </c>
      <c r="L26" s="97">
        <f t="shared" ca="1" si="3"/>
        <v>298.14999999999998</v>
      </c>
      <c r="M26" s="64">
        <v>60</v>
      </c>
      <c r="N26" s="8">
        <f>E26+M26</f>
        <v>46171</v>
      </c>
      <c r="O26" s="13"/>
      <c r="P26" s="22"/>
      <c r="Q26" s="3">
        <v>120</v>
      </c>
      <c r="R26" s="8">
        <f>E26+Q26</f>
        <v>46231</v>
      </c>
      <c r="S26" s="13"/>
      <c r="T26" s="31"/>
      <c r="U26" s="33">
        <f>(((320-F26)/J26))</f>
        <v>45.185185185185183</v>
      </c>
      <c r="V26" s="8">
        <v>46092</v>
      </c>
      <c r="W26" s="8">
        <f t="shared" si="4"/>
        <v>46106</v>
      </c>
      <c r="X26" s="13">
        <f t="shared" si="5"/>
        <v>192.14814814814599</v>
      </c>
      <c r="Y26" s="8">
        <f>AA26-Z26</f>
        <v>46284.148148148146</v>
      </c>
      <c r="Z26" s="28">
        <v>35</v>
      </c>
      <c r="AA26" s="29">
        <f>E26+H26</f>
        <v>46319.148148148146</v>
      </c>
      <c r="AB26" s="28">
        <f t="shared" si="6"/>
        <v>43</v>
      </c>
    </row>
    <row r="27" spans="1:29" ht="22.15" customHeight="1" x14ac:dyDescent="0.25">
      <c r="A27" s="55">
        <v>34</v>
      </c>
      <c r="B27" s="88" t="s">
        <v>410</v>
      </c>
      <c r="C27" s="88" t="s">
        <v>6</v>
      </c>
      <c r="D27" s="100">
        <v>12</v>
      </c>
      <c r="E27" s="29">
        <v>45996</v>
      </c>
      <c r="F27" s="3">
        <v>343</v>
      </c>
      <c r="G27" s="13">
        <f t="shared" ca="1" si="0"/>
        <v>144</v>
      </c>
      <c r="H27" s="13">
        <f t="shared" si="1"/>
        <v>131.66666666666666</v>
      </c>
      <c r="I27" s="13">
        <f t="shared" ca="1" si="2"/>
        <v>602.20000000000005</v>
      </c>
      <c r="J27" s="9">
        <v>1.8</v>
      </c>
      <c r="K27" s="3">
        <v>580</v>
      </c>
      <c r="L27" s="97">
        <f t="shared" ca="1" si="3"/>
        <v>602.20000000000005</v>
      </c>
      <c r="M27" s="64">
        <v>60</v>
      </c>
      <c r="N27" s="8">
        <v>45935</v>
      </c>
      <c r="O27" s="13"/>
      <c r="P27" s="22"/>
      <c r="Q27" s="3"/>
      <c r="R27" s="8"/>
      <c r="S27" s="13"/>
      <c r="T27" s="31"/>
      <c r="U27" s="33">
        <f>(((370-F27)/J27))</f>
        <v>15</v>
      </c>
      <c r="V27" s="8">
        <f>E27+U27</f>
        <v>46011</v>
      </c>
      <c r="W27" s="8">
        <f t="shared" si="4"/>
        <v>46025</v>
      </c>
      <c r="X27" s="13">
        <f t="shared" si="5"/>
        <v>96</v>
      </c>
      <c r="Y27" s="8">
        <v>46107</v>
      </c>
      <c r="Z27" s="28">
        <v>35</v>
      </c>
      <c r="AA27" s="29">
        <f>Y27+Z27</f>
        <v>46142</v>
      </c>
      <c r="AB27" s="52">
        <f t="shared" si="6"/>
        <v>18</v>
      </c>
    </row>
    <row r="28" spans="1:29" ht="22.15" customHeight="1" x14ac:dyDescent="0.25">
      <c r="A28" s="9">
        <v>35</v>
      </c>
      <c r="B28" s="86" t="s">
        <v>326</v>
      </c>
      <c r="C28" s="3" t="s">
        <v>16</v>
      </c>
      <c r="D28" s="28">
        <v>26</v>
      </c>
      <c r="E28" s="29">
        <v>46038</v>
      </c>
      <c r="F28" s="3">
        <v>318</v>
      </c>
      <c r="G28" s="13">
        <f t="shared" ca="1" si="0"/>
        <v>102</v>
      </c>
      <c r="H28" s="13">
        <f t="shared" si="1"/>
        <v>158.57142857142858</v>
      </c>
      <c r="I28" s="13">
        <f t="shared" ca="1" si="2"/>
        <v>460.79999999999995</v>
      </c>
      <c r="J28" s="9">
        <v>1.4</v>
      </c>
      <c r="K28" s="3">
        <v>540</v>
      </c>
      <c r="L28" s="97">
        <f t="shared" ca="1" si="3"/>
        <v>460.79999999999995</v>
      </c>
      <c r="M28" s="64">
        <v>60</v>
      </c>
      <c r="N28" s="8">
        <v>46106</v>
      </c>
      <c r="O28" s="13">
        <v>401</v>
      </c>
      <c r="P28" s="22">
        <f>(O28-F28)/(N28-E28)</f>
        <v>1.2205882352941178</v>
      </c>
      <c r="Q28" s="3">
        <v>110</v>
      </c>
      <c r="R28" s="8">
        <f>E28+Q28</f>
        <v>46148</v>
      </c>
      <c r="S28" s="13"/>
      <c r="T28" s="31"/>
      <c r="U28" s="33">
        <f>(((320-F28)/J28))</f>
        <v>1.4285714285714286</v>
      </c>
      <c r="V28" s="8">
        <v>46092</v>
      </c>
      <c r="W28" s="8">
        <f t="shared" si="4"/>
        <v>46106</v>
      </c>
      <c r="X28" s="13">
        <f t="shared" si="5"/>
        <v>69.571428571427532</v>
      </c>
      <c r="Y28" s="8">
        <f>AA28-Z28</f>
        <v>46161.571428571428</v>
      </c>
      <c r="Z28" s="28">
        <v>35</v>
      </c>
      <c r="AA28" s="29">
        <f>E28+H28</f>
        <v>46196.571428571428</v>
      </c>
      <c r="AB28" s="28">
        <f t="shared" si="6"/>
        <v>26</v>
      </c>
    </row>
    <row r="29" spans="1:29" ht="22.15" customHeight="1" x14ac:dyDescent="0.25">
      <c r="A29" s="48">
        <v>36</v>
      </c>
      <c r="B29" s="98" t="s">
        <v>409</v>
      </c>
      <c r="C29" s="98" t="s">
        <v>16</v>
      </c>
      <c r="D29" s="99">
        <v>9</v>
      </c>
      <c r="E29" s="29">
        <v>45936</v>
      </c>
      <c r="F29" s="3">
        <v>243</v>
      </c>
      <c r="G29" s="3">
        <f t="shared" ca="1" si="0"/>
        <v>204</v>
      </c>
      <c r="H29" s="13">
        <f t="shared" si="1"/>
        <v>191.61290322580643</v>
      </c>
      <c r="I29" s="13">
        <f t="shared" ca="1" si="2"/>
        <v>559.20000000000005</v>
      </c>
      <c r="J29" s="9">
        <v>1.55</v>
      </c>
      <c r="K29" s="3">
        <v>540</v>
      </c>
      <c r="L29" s="97">
        <f t="shared" ca="1" si="3"/>
        <v>559.20000000000005</v>
      </c>
      <c r="M29" s="64">
        <v>60</v>
      </c>
      <c r="N29" s="8">
        <f>E29+M29</f>
        <v>45996</v>
      </c>
      <c r="O29" s="13"/>
      <c r="P29" s="22"/>
      <c r="Q29" s="3">
        <v>120</v>
      </c>
      <c r="R29" s="8">
        <f>E29+Q29</f>
        <v>46056</v>
      </c>
      <c r="S29" s="13">
        <v>446</v>
      </c>
      <c r="T29" s="22">
        <f>(S29-F29)/(R29-E29)</f>
        <v>1.6916666666666667</v>
      </c>
      <c r="U29" s="33">
        <f>(((320-F29)/J29))</f>
        <v>49.677419354838712</v>
      </c>
      <c r="V29" s="8">
        <v>45996</v>
      </c>
      <c r="W29" s="8">
        <f>V29+$W$3</f>
        <v>46010</v>
      </c>
      <c r="X29" s="13">
        <f t="shared" si="5"/>
        <v>111</v>
      </c>
      <c r="Y29" s="8">
        <v>46107</v>
      </c>
      <c r="Z29" s="28">
        <v>35</v>
      </c>
      <c r="AA29" s="29">
        <f>Y29+Z29</f>
        <v>46142</v>
      </c>
      <c r="AB29" s="52">
        <f>_xlfn.ISOWEEKNUM(AA29)</f>
        <v>18</v>
      </c>
    </row>
    <row r="30" spans="1:29" ht="22.15" customHeight="1" x14ac:dyDescent="0.25">
      <c r="A30" s="9">
        <v>37</v>
      </c>
      <c r="B30" s="86" t="s">
        <v>413</v>
      </c>
      <c r="C30" s="3" t="s">
        <v>16</v>
      </c>
      <c r="D30" s="28">
        <f>2+5+2+6+13</f>
        <v>28</v>
      </c>
      <c r="E30" s="29">
        <v>46105</v>
      </c>
      <c r="F30" s="3">
        <v>319</v>
      </c>
      <c r="G30" s="3">
        <f t="shared" ca="1" si="0"/>
        <v>35</v>
      </c>
      <c r="H30" s="13">
        <f t="shared" si="1"/>
        <v>157.85714285714286</v>
      </c>
      <c r="I30" s="13">
        <f t="shared" ca="1" si="2"/>
        <v>368</v>
      </c>
      <c r="J30" s="9">
        <v>1.4</v>
      </c>
      <c r="K30" s="3">
        <v>540</v>
      </c>
      <c r="L30" s="97">
        <f t="shared" ca="1" si="3"/>
        <v>368</v>
      </c>
      <c r="M30" s="64">
        <v>60</v>
      </c>
      <c r="N30" s="8">
        <f>E30+M30</f>
        <v>46165</v>
      </c>
      <c r="O30" s="13"/>
      <c r="P30" s="22"/>
      <c r="Q30" s="3">
        <v>120</v>
      </c>
      <c r="R30" s="8">
        <f>E30+Q30</f>
        <v>46225</v>
      </c>
      <c r="S30" s="13"/>
      <c r="T30" s="31"/>
      <c r="U30" s="33">
        <f>(((320-F30)/J30))</f>
        <v>0.7142857142857143</v>
      </c>
      <c r="V30" s="8">
        <v>46123</v>
      </c>
      <c r="W30" s="8">
        <f t="shared" si="4"/>
        <v>46137</v>
      </c>
      <c r="X30" s="13">
        <f t="shared" si="5"/>
        <v>104.85714285714494</v>
      </c>
      <c r="Y30" s="8">
        <f>AA30-Z30</f>
        <v>46227.857142857145</v>
      </c>
      <c r="Z30" s="28">
        <v>35</v>
      </c>
      <c r="AA30" s="29">
        <f>E30+H30</f>
        <v>46262.857142857145</v>
      </c>
      <c r="AB30" s="28">
        <f t="shared" si="6"/>
        <v>35</v>
      </c>
    </row>
    <row r="31" spans="1:29" ht="22.15" customHeight="1" x14ac:dyDescent="0.25">
      <c r="A31" s="9">
        <v>42</v>
      </c>
      <c r="B31" s="3" t="s">
        <v>234</v>
      </c>
      <c r="C31" s="3" t="s">
        <v>6</v>
      </c>
      <c r="D31" s="28">
        <v>65</v>
      </c>
      <c r="E31" s="29">
        <v>45986</v>
      </c>
      <c r="F31" s="3">
        <v>285</v>
      </c>
      <c r="G31" s="13">
        <f t="shared" ca="1" si="0"/>
        <v>154</v>
      </c>
      <c r="H31" s="13">
        <f t="shared" si="1"/>
        <v>163.88888888888889</v>
      </c>
      <c r="I31" s="13">
        <f t="shared" ca="1" si="2"/>
        <v>562.20000000000005</v>
      </c>
      <c r="J31" s="9">
        <v>1.8</v>
      </c>
      <c r="K31" s="3">
        <v>580</v>
      </c>
      <c r="L31" s="97">
        <f t="shared" ca="1" si="3"/>
        <v>562.20000000000005</v>
      </c>
      <c r="M31" s="64">
        <v>60</v>
      </c>
      <c r="N31" s="8">
        <f>E31+M31</f>
        <v>46046</v>
      </c>
      <c r="O31" s="13"/>
      <c r="P31" s="22"/>
      <c r="Q31" s="3">
        <v>120</v>
      </c>
      <c r="R31" s="8">
        <f>E31+Q31</f>
        <v>46106</v>
      </c>
      <c r="S31" s="13"/>
      <c r="T31" s="31"/>
      <c r="U31" s="33">
        <f>(((370-F31)/J31))</f>
        <v>47.222222222222221</v>
      </c>
      <c r="V31" s="8">
        <v>46038</v>
      </c>
      <c r="W31" s="8">
        <f t="shared" si="4"/>
        <v>46052</v>
      </c>
      <c r="X31" s="13">
        <f t="shared" si="5"/>
        <v>84</v>
      </c>
      <c r="Y31" s="8">
        <v>46122</v>
      </c>
      <c r="Z31" s="28">
        <v>35</v>
      </c>
      <c r="AA31" s="29">
        <f>Y31+Z31</f>
        <v>46157</v>
      </c>
      <c r="AB31" s="52">
        <f t="shared" si="6"/>
        <v>20</v>
      </c>
    </row>
    <row r="32" spans="1:29" ht="22.15" customHeight="1" x14ac:dyDescent="0.25">
      <c r="A32" s="9">
        <v>44</v>
      </c>
      <c r="B32" s="86" t="s">
        <v>291</v>
      </c>
      <c r="C32" s="3" t="s">
        <v>16</v>
      </c>
      <c r="D32" s="28">
        <v>65</v>
      </c>
      <c r="E32" s="29">
        <v>46044</v>
      </c>
      <c r="F32" s="3">
        <v>261</v>
      </c>
      <c r="G32" s="13">
        <f t="shared" ca="1" si="0"/>
        <v>96</v>
      </c>
      <c r="H32" s="13">
        <f t="shared" si="1"/>
        <v>199.28571428571431</v>
      </c>
      <c r="I32" s="13">
        <f t="shared" ca="1" si="2"/>
        <v>395.4</v>
      </c>
      <c r="J32" s="9">
        <v>1.4</v>
      </c>
      <c r="K32" s="3">
        <v>540</v>
      </c>
      <c r="L32" s="97">
        <f t="shared" ca="1" si="3"/>
        <v>395.4</v>
      </c>
      <c r="M32" s="64">
        <v>60</v>
      </c>
      <c r="N32" s="8">
        <v>46106</v>
      </c>
      <c r="O32" s="13">
        <v>385</v>
      </c>
      <c r="P32" s="22">
        <f>(O32-F32)/(N32-E32)</f>
        <v>2</v>
      </c>
      <c r="Q32" s="3">
        <v>120</v>
      </c>
      <c r="R32" s="8">
        <f>E32+Q32</f>
        <v>46164</v>
      </c>
      <c r="S32" s="13"/>
      <c r="T32" s="31"/>
      <c r="U32" s="33">
        <f>(((320-F32)/J32))</f>
        <v>42.142857142857146</v>
      </c>
      <c r="V32" s="8">
        <f>E32+U32</f>
        <v>46086.142857142855</v>
      </c>
      <c r="W32" s="8">
        <f t="shared" si="4"/>
        <v>46100.142857142855</v>
      </c>
      <c r="X32" s="13">
        <f t="shared" si="5"/>
        <v>122.14285714286234</v>
      </c>
      <c r="Y32" s="8">
        <f>AA32-Z32</f>
        <v>46208.285714285717</v>
      </c>
      <c r="Z32" s="28">
        <v>35</v>
      </c>
      <c r="AA32" s="29">
        <f>E32+H32</f>
        <v>46243.285714285717</v>
      </c>
      <c r="AB32" s="28">
        <f t="shared" si="6"/>
        <v>32</v>
      </c>
    </row>
    <row r="33" spans="1:30" ht="22.15" customHeight="1" x14ac:dyDescent="0.25">
      <c r="A33" s="9">
        <v>45</v>
      </c>
      <c r="B33" s="3"/>
      <c r="C33" s="3"/>
      <c r="D33" s="28"/>
      <c r="E33" s="29"/>
      <c r="F33" s="3"/>
      <c r="G33" s="13"/>
      <c r="H33" s="13"/>
      <c r="I33" s="13"/>
      <c r="J33" s="9"/>
      <c r="K33" s="3"/>
      <c r="L33" s="97"/>
      <c r="M33" s="64"/>
      <c r="N33" s="8"/>
      <c r="O33" s="13"/>
      <c r="P33" s="22"/>
      <c r="Q33" s="3"/>
      <c r="R33" s="8"/>
      <c r="S33" s="13"/>
      <c r="T33" s="31"/>
      <c r="U33" s="33"/>
      <c r="V33" s="8"/>
      <c r="W33" s="8"/>
      <c r="X33" s="13"/>
      <c r="Y33" s="8"/>
      <c r="Z33" s="28"/>
      <c r="AA33" s="29"/>
      <c r="AB33" s="53"/>
    </row>
    <row r="34" spans="1:30" ht="22.15" customHeight="1" x14ac:dyDescent="0.25">
      <c r="A34" s="9">
        <v>46</v>
      </c>
      <c r="B34" s="86" t="s">
        <v>327</v>
      </c>
      <c r="C34" s="3" t="s">
        <v>16</v>
      </c>
      <c r="D34" s="28">
        <f>63+2</f>
        <v>65</v>
      </c>
      <c r="E34" s="29">
        <v>46038</v>
      </c>
      <c r="F34" s="3">
        <v>326</v>
      </c>
      <c r="G34" s="13">
        <f ca="1">B$3-E34</f>
        <v>102</v>
      </c>
      <c r="H34" s="13">
        <f>(K34-F34)/J34</f>
        <v>142.66666666666666</v>
      </c>
      <c r="I34" s="13">
        <f t="shared" ref="I34:I56" ca="1" si="7">F34+(G34*J34)</f>
        <v>479</v>
      </c>
      <c r="J34" s="9">
        <v>1.5</v>
      </c>
      <c r="K34" s="3">
        <v>540</v>
      </c>
      <c r="L34" s="97">
        <f t="shared" ref="L34:L56" ca="1" si="8">F34+(G34*J34)</f>
        <v>479</v>
      </c>
      <c r="M34" s="64">
        <v>60</v>
      </c>
      <c r="N34" s="8">
        <f>E34+M34</f>
        <v>46098</v>
      </c>
      <c r="O34" s="13"/>
      <c r="P34" s="22"/>
      <c r="Q34" s="3">
        <v>120</v>
      </c>
      <c r="R34" s="8">
        <f>E34+Q34</f>
        <v>46158</v>
      </c>
      <c r="S34" s="13"/>
      <c r="T34" s="31"/>
      <c r="U34" s="33">
        <v>30</v>
      </c>
      <c r="V34" s="8">
        <f>E34+U34</f>
        <v>46068</v>
      </c>
      <c r="W34" s="8">
        <f t="shared" ref="W34:W56" si="9">V34+$W$3</f>
        <v>46082</v>
      </c>
      <c r="X34" s="13">
        <f t="shared" ref="X34:X56" si="10">Y34-V34</f>
        <v>77.666666666664241</v>
      </c>
      <c r="Y34" s="8">
        <f>AA34-Z34</f>
        <v>46145.666666666664</v>
      </c>
      <c r="Z34" s="28">
        <v>35</v>
      </c>
      <c r="AA34" s="29">
        <f>E34+H34</f>
        <v>46180.666666666664</v>
      </c>
      <c r="AB34" s="28">
        <f t="shared" ref="AB34:AB56" si="11">_xlfn.ISOWEEKNUM(AA34)</f>
        <v>23</v>
      </c>
    </row>
    <row r="35" spans="1:30" ht="22.15" customHeight="1" x14ac:dyDescent="0.25">
      <c r="A35" s="9">
        <v>47</v>
      </c>
      <c r="B35" s="3"/>
      <c r="C35" s="3"/>
      <c r="D35" s="28"/>
      <c r="E35" s="29"/>
      <c r="F35" s="3"/>
      <c r="G35" s="13"/>
      <c r="H35" s="13"/>
      <c r="I35" s="13"/>
      <c r="J35" s="9"/>
      <c r="K35" s="3"/>
      <c r="L35" s="97"/>
      <c r="M35" s="64"/>
      <c r="N35" s="8"/>
      <c r="O35" s="13"/>
      <c r="P35" s="22"/>
      <c r="Q35" s="3"/>
      <c r="R35" s="8"/>
      <c r="S35" s="13"/>
      <c r="T35" s="31"/>
      <c r="U35" s="33"/>
      <c r="V35" s="8"/>
      <c r="W35" s="8"/>
      <c r="X35" s="13"/>
      <c r="Y35" s="8"/>
      <c r="Z35" s="28"/>
      <c r="AA35" s="29"/>
      <c r="AB35" s="53"/>
    </row>
    <row r="36" spans="1:30" ht="22.15" customHeight="1" x14ac:dyDescent="0.25">
      <c r="A36" s="9">
        <v>48</v>
      </c>
      <c r="B36" s="86" t="s">
        <v>317</v>
      </c>
      <c r="C36" s="3" t="s">
        <v>16</v>
      </c>
      <c r="D36" s="28">
        <v>65</v>
      </c>
      <c r="E36" s="29">
        <v>46038</v>
      </c>
      <c r="F36" s="3">
        <v>249</v>
      </c>
      <c r="G36" s="13">
        <f t="shared" ref="G36:G56" ca="1" si="12">B$3-E36</f>
        <v>102</v>
      </c>
      <c r="H36" s="13">
        <f>(K36-F36)/J36</f>
        <v>215.55555555555554</v>
      </c>
      <c r="I36" s="13">
        <f t="shared" ca="1" si="7"/>
        <v>386.70000000000005</v>
      </c>
      <c r="J36" s="9">
        <v>1.35</v>
      </c>
      <c r="K36" s="3">
        <v>540</v>
      </c>
      <c r="L36" s="97">
        <f t="shared" ca="1" si="8"/>
        <v>386.70000000000005</v>
      </c>
      <c r="M36" s="64">
        <v>60</v>
      </c>
      <c r="N36" s="8">
        <v>46099</v>
      </c>
      <c r="O36" s="13">
        <v>357</v>
      </c>
      <c r="P36" s="22">
        <f>(O36-F36)/(N36-E36)</f>
        <v>1.7704918032786885</v>
      </c>
      <c r="Q36" s="3">
        <v>120</v>
      </c>
      <c r="R36" s="8">
        <f>E36+Q36</f>
        <v>46158</v>
      </c>
      <c r="S36" s="13"/>
      <c r="T36" s="31"/>
      <c r="U36" s="33">
        <v>30</v>
      </c>
      <c r="V36" s="8">
        <f>E36+U36</f>
        <v>46068</v>
      </c>
      <c r="W36" s="8">
        <f t="shared" si="9"/>
        <v>46082</v>
      </c>
      <c r="X36" s="13">
        <f t="shared" si="10"/>
        <v>150.55555555555475</v>
      </c>
      <c r="Y36" s="8">
        <f>AA36-Z36</f>
        <v>46218.555555555555</v>
      </c>
      <c r="Z36" s="28">
        <v>35</v>
      </c>
      <c r="AA36" s="29">
        <f>E36+H36</f>
        <v>46253.555555555555</v>
      </c>
      <c r="AB36" s="28">
        <f t="shared" si="11"/>
        <v>34</v>
      </c>
    </row>
    <row r="37" spans="1:30" ht="22.15" customHeight="1" x14ac:dyDescent="0.25">
      <c r="A37" s="9">
        <v>49</v>
      </c>
      <c r="B37" s="3" t="s">
        <v>246</v>
      </c>
      <c r="C37" s="3" t="s">
        <v>6</v>
      </c>
      <c r="D37" s="28">
        <f>39+26</f>
        <v>65</v>
      </c>
      <c r="E37" s="29">
        <v>45988</v>
      </c>
      <c r="F37" s="3">
        <v>293</v>
      </c>
      <c r="G37" s="13">
        <f t="shared" ca="1" si="12"/>
        <v>152</v>
      </c>
      <c r="H37" s="13">
        <f>(K37-F37)/J37</f>
        <v>159.44444444444443</v>
      </c>
      <c r="I37" s="13">
        <f t="shared" ca="1" si="7"/>
        <v>566.6</v>
      </c>
      <c r="J37" s="9">
        <v>1.8</v>
      </c>
      <c r="K37" s="3">
        <v>580</v>
      </c>
      <c r="L37" s="97">
        <f t="shared" ca="1" si="8"/>
        <v>566.6</v>
      </c>
      <c r="M37" s="64">
        <v>60</v>
      </c>
      <c r="N37" s="8">
        <f>E37+M37</f>
        <v>46048</v>
      </c>
      <c r="O37" s="13">
        <v>401</v>
      </c>
      <c r="P37" s="22">
        <f>(O37-F37)/(N37-E37)</f>
        <v>1.8</v>
      </c>
      <c r="Q37" s="3">
        <v>120</v>
      </c>
      <c r="R37" s="8">
        <f>E37+Q37</f>
        <v>46108</v>
      </c>
      <c r="S37" s="13"/>
      <c r="T37" s="31"/>
      <c r="U37" s="33">
        <f>(((370-F37)/J37))</f>
        <v>42.777777777777779</v>
      </c>
      <c r="V37" s="8">
        <v>46031</v>
      </c>
      <c r="W37" s="8">
        <f t="shared" si="9"/>
        <v>46045</v>
      </c>
      <c r="X37" s="13">
        <f t="shared" si="10"/>
        <v>84</v>
      </c>
      <c r="Y37" s="8">
        <v>46115</v>
      </c>
      <c r="Z37" s="28">
        <v>35</v>
      </c>
      <c r="AA37" s="29">
        <f>Y37+Z37</f>
        <v>46150</v>
      </c>
      <c r="AB37" s="52">
        <f t="shared" si="11"/>
        <v>19</v>
      </c>
    </row>
    <row r="38" spans="1:30" ht="22.15" customHeight="1" x14ac:dyDescent="0.25">
      <c r="A38" s="9">
        <v>50</v>
      </c>
      <c r="B38" s="86" t="s">
        <v>325</v>
      </c>
      <c r="C38" s="3" t="s">
        <v>16</v>
      </c>
      <c r="D38" s="28">
        <f>21+2+1+5+4+3+5+1+4+4+8-1+2+2</f>
        <v>61</v>
      </c>
      <c r="E38" s="29">
        <v>46085</v>
      </c>
      <c r="F38" s="3">
        <v>206</v>
      </c>
      <c r="G38" s="13">
        <f t="shared" ca="1" si="12"/>
        <v>55</v>
      </c>
      <c r="H38" s="13">
        <f>(K38-F38)/J38</f>
        <v>256.92307692307691</v>
      </c>
      <c r="I38" s="13">
        <f t="shared" ca="1" si="7"/>
        <v>277.5</v>
      </c>
      <c r="J38" s="9">
        <v>1.3</v>
      </c>
      <c r="K38" s="3">
        <v>540</v>
      </c>
      <c r="L38" s="97">
        <f t="shared" ca="1" si="8"/>
        <v>277.5</v>
      </c>
      <c r="M38" s="64">
        <v>60</v>
      </c>
      <c r="N38" s="8">
        <f>E38+M38</f>
        <v>46145</v>
      </c>
      <c r="O38" s="13"/>
      <c r="P38" s="22"/>
      <c r="Q38" s="3">
        <v>120</v>
      </c>
      <c r="R38" s="8">
        <f>E38+Q38</f>
        <v>46205</v>
      </c>
      <c r="S38" s="13"/>
      <c r="T38" s="31"/>
      <c r="U38" s="33">
        <f>(((320-F38)/J38))</f>
        <v>87.692307692307693</v>
      </c>
      <c r="V38" s="8">
        <f>E38+U38</f>
        <v>46172.692307692305</v>
      </c>
      <c r="W38" s="8">
        <f t="shared" si="9"/>
        <v>46186.692307692305</v>
      </c>
      <c r="X38" s="13">
        <f t="shared" si="10"/>
        <v>134.23076923077315</v>
      </c>
      <c r="Y38" s="8">
        <f>AA38-Z38</f>
        <v>46306.923076923078</v>
      </c>
      <c r="Z38" s="28">
        <v>35</v>
      </c>
      <c r="AA38" s="29">
        <f t="shared" ref="AA38:AA44" si="13">E38+H38</f>
        <v>46341.923076923078</v>
      </c>
      <c r="AB38" s="28">
        <f t="shared" si="11"/>
        <v>46</v>
      </c>
    </row>
    <row r="39" spans="1:30" ht="22.15" customHeight="1" x14ac:dyDescent="0.25">
      <c r="A39" s="9">
        <v>51</v>
      </c>
      <c r="B39" s="86" t="s">
        <v>376</v>
      </c>
      <c r="C39" s="3" t="s">
        <v>12</v>
      </c>
      <c r="D39" s="28">
        <f>23+2+1+14</f>
        <v>40</v>
      </c>
      <c r="E39" s="29">
        <v>46076</v>
      </c>
      <c r="F39" s="3">
        <v>481</v>
      </c>
      <c r="G39" s="13">
        <f t="shared" ca="1" si="12"/>
        <v>64</v>
      </c>
      <c r="H39" s="13">
        <v>90</v>
      </c>
      <c r="I39" s="13">
        <f t="shared" ca="1" si="7"/>
        <v>589.79999999999995</v>
      </c>
      <c r="J39" s="9">
        <v>1.7</v>
      </c>
      <c r="K39" s="13">
        <f>(J39*H39)+F39</f>
        <v>634</v>
      </c>
      <c r="L39" s="97">
        <f t="shared" ca="1" si="8"/>
        <v>589.79999999999995</v>
      </c>
      <c r="M39" s="64"/>
      <c r="N39" s="8"/>
      <c r="O39" s="13"/>
      <c r="P39" s="22"/>
      <c r="Q39" s="3"/>
      <c r="R39" s="8"/>
      <c r="S39" s="13"/>
      <c r="T39" s="31"/>
      <c r="U39" s="33">
        <v>0</v>
      </c>
      <c r="V39" s="8">
        <v>46079</v>
      </c>
      <c r="W39" s="8">
        <f t="shared" si="9"/>
        <v>46093</v>
      </c>
      <c r="X39" s="13">
        <f t="shared" si="10"/>
        <v>49</v>
      </c>
      <c r="Y39" s="8">
        <v>46128</v>
      </c>
      <c r="Z39" s="28">
        <v>35</v>
      </c>
      <c r="AA39" s="29">
        <f t="shared" si="13"/>
        <v>46166</v>
      </c>
      <c r="AB39" s="52">
        <f t="shared" si="11"/>
        <v>21</v>
      </c>
    </row>
    <row r="40" spans="1:30" ht="22.15" customHeight="1" x14ac:dyDescent="0.25">
      <c r="A40" s="9">
        <v>52</v>
      </c>
      <c r="B40" s="86" t="s">
        <v>336</v>
      </c>
      <c r="C40" s="3" t="s">
        <v>16</v>
      </c>
      <c r="D40" s="28">
        <v>63</v>
      </c>
      <c r="E40" s="29">
        <v>46059</v>
      </c>
      <c r="F40" s="3">
        <v>264</v>
      </c>
      <c r="G40" s="13">
        <f t="shared" ca="1" si="12"/>
        <v>81</v>
      </c>
      <c r="H40" s="13">
        <f>(K40-F40)/J40</f>
        <v>204.44444444444443</v>
      </c>
      <c r="I40" s="13">
        <f t="shared" ca="1" si="7"/>
        <v>373.35</v>
      </c>
      <c r="J40" s="9">
        <v>1.35</v>
      </c>
      <c r="K40" s="3">
        <v>540</v>
      </c>
      <c r="L40" s="97">
        <f t="shared" ca="1" si="8"/>
        <v>373.35</v>
      </c>
      <c r="M40" s="64">
        <v>60</v>
      </c>
      <c r="N40" s="8">
        <v>46118</v>
      </c>
      <c r="O40" s="13">
        <v>368</v>
      </c>
      <c r="P40" s="22">
        <f>(O40-F40)/(N40-E40)</f>
        <v>1.7627118644067796</v>
      </c>
      <c r="Q40" s="3">
        <v>120</v>
      </c>
      <c r="R40" s="8">
        <f>E40+Q40</f>
        <v>46179</v>
      </c>
      <c r="S40" s="13"/>
      <c r="T40" s="31"/>
      <c r="U40" s="33">
        <f>(((320-F40)/J40))</f>
        <v>41.481481481481481</v>
      </c>
      <c r="V40" s="8">
        <f>E40+U40</f>
        <v>46100.481481481482</v>
      </c>
      <c r="W40" s="8">
        <f t="shared" si="9"/>
        <v>46114.481481481482</v>
      </c>
      <c r="X40" s="13">
        <f t="shared" si="10"/>
        <v>127.9629629629635</v>
      </c>
      <c r="Y40" s="8">
        <f>AA40-Z40</f>
        <v>46228.444444444445</v>
      </c>
      <c r="Z40" s="28">
        <v>35</v>
      </c>
      <c r="AA40" s="29">
        <f t="shared" si="13"/>
        <v>46263.444444444445</v>
      </c>
      <c r="AB40" s="28">
        <f t="shared" si="11"/>
        <v>35</v>
      </c>
    </row>
    <row r="41" spans="1:30" ht="22.5" customHeight="1" x14ac:dyDescent="0.25">
      <c r="A41" s="9">
        <v>53</v>
      </c>
      <c r="B41" s="91" t="s">
        <v>370</v>
      </c>
      <c r="C41" s="3" t="s">
        <v>12</v>
      </c>
      <c r="D41" s="28">
        <f>1+24+4+10</f>
        <v>39</v>
      </c>
      <c r="E41" s="29">
        <v>46076</v>
      </c>
      <c r="F41" s="3">
        <v>481</v>
      </c>
      <c r="G41" s="13">
        <f t="shared" ca="1" si="12"/>
        <v>64</v>
      </c>
      <c r="H41" s="13">
        <v>90</v>
      </c>
      <c r="I41" s="13">
        <f t="shared" ca="1" si="7"/>
        <v>589.79999999999995</v>
      </c>
      <c r="J41" s="9">
        <v>1.7</v>
      </c>
      <c r="K41" s="13">
        <f>(J41*H41)+F41</f>
        <v>634</v>
      </c>
      <c r="L41" s="97">
        <f t="shared" ca="1" si="8"/>
        <v>589.79999999999995</v>
      </c>
      <c r="M41" s="64"/>
      <c r="N41" s="8"/>
      <c r="O41" s="13"/>
      <c r="P41" s="22"/>
      <c r="Q41" s="3"/>
      <c r="R41" s="8"/>
      <c r="S41" s="13"/>
      <c r="T41" s="31"/>
      <c r="U41" s="33">
        <v>0</v>
      </c>
      <c r="V41" s="8">
        <v>46079</v>
      </c>
      <c r="W41" s="8">
        <f t="shared" si="9"/>
        <v>46093</v>
      </c>
      <c r="X41" s="13">
        <f t="shared" si="10"/>
        <v>49</v>
      </c>
      <c r="Y41" s="8">
        <v>46128</v>
      </c>
      <c r="Z41" s="28">
        <v>35</v>
      </c>
      <c r="AA41" s="29">
        <f t="shared" si="13"/>
        <v>46166</v>
      </c>
      <c r="AB41" s="52">
        <f t="shared" si="11"/>
        <v>21</v>
      </c>
    </row>
    <row r="42" spans="1:30" ht="22.15" customHeight="1" x14ac:dyDescent="0.25">
      <c r="A42" s="9">
        <v>54</v>
      </c>
      <c r="B42" s="86" t="s">
        <v>277</v>
      </c>
      <c r="C42" s="3" t="s">
        <v>16</v>
      </c>
      <c r="D42" s="28">
        <f>1+1+2+3+4+1+11+5+3+8+4+1+3+1+9+6+2</f>
        <v>65</v>
      </c>
      <c r="E42" s="29">
        <v>46050</v>
      </c>
      <c r="F42" s="3">
        <v>210</v>
      </c>
      <c r="G42" s="13">
        <f t="shared" ca="1" si="12"/>
        <v>90</v>
      </c>
      <c r="H42" s="13">
        <f t="shared" ref="H42:H56" si="14">(K42-F42)/J42</f>
        <v>235.71428571428572</v>
      </c>
      <c r="I42" s="13">
        <f t="shared" ca="1" si="7"/>
        <v>336</v>
      </c>
      <c r="J42" s="9">
        <v>1.4</v>
      </c>
      <c r="K42" s="3">
        <v>540</v>
      </c>
      <c r="L42" s="97">
        <f t="shared" ca="1" si="8"/>
        <v>336</v>
      </c>
      <c r="M42" s="64">
        <v>60</v>
      </c>
      <c r="N42" s="8">
        <v>46106</v>
      </c>
      <c r="O42" s="13">
        <v>325</v>
      </c>
      <c r="P42" s="22">
        <f>(O42-F42)/(N42-E42)</f>
        <v>2.0535714285714284</v>
      </c>
      <c r="Q42" s="3">
        <v>120</v>
      </c>
      <c r="R42" s="8">
        <f>E42+Q42</f>
        <v>46170</v>
      </c>
      <c r="S42" s="13"/>
      <c r="T42" s="31"/>
      <c r="U42" s="33">
        <f>(((320-F42)/J42))</f>
        <v>78.571428571428569</v>
      </c>
      <c r="V42" s="8">
        <f>E42+U42</f>
        <v>46128.571428571428</v>
      </c>
      <c r="W42" s="8">
        <f t="shared" si="9"/>
        <v>46142.571428571428</v>
      </c>
      <c r="X42" s="13">
        <f t="shared" si="10"/>
        <v>122.14285714285506</v>
      </c>
      <c r="Y42" s="8">
        <f>AA42-Z42</f>
        <v>46250.714285714283</v>
      </c>
      <c r="Z42" s="28">
        <v>35</v>
      </c>
      <c r="AA42" s="29">
        <f t="shared" si="13"/>
        <v>46285.714285714283</v>
      </c>
      <c r="AB42" s="28">
        <f t="shared" si="11"/>
        <v>38</v>
      </c>
    </row>
    <row r="43" spans="1:30" ht="22.15" customHeight="1" x14ac:dyDescent="0.25">
      <c r="A43" s="55">
        <v>55</v>
      </c>
      <c r="B43" s="88" t="s">
        <v>243</v>
      </c>
      <c r="C43" s="88" t="s">
        <v>6</v>
      </c>
      <c r="D43" s="100">
        <v>8</v>
      </c>
      <c r="E43" s="29">
        <v>45996</v>
      </c>
      <c r="F43" s="3">
        <v>343</v>
      </c>
      <c r="G43" s="13">
        <f t="shared" ca="1" si="12"/>
        <v>144</v>
      </c>
      <c r="H43" s="13">
        <f t="shared" si="14"/>
        <v>131.66666666666666</v>
      </c>
      <c r="I43" s="13">
        <f t="shared" ca="1" si="7"/>
        <v>602.20000000000005</v>
      </c>
      <c r="J43" s="9">
        <v>1.8</v>
      </c>
      <c r="K43" s="3">
        <v>580</v>
      </c>
      <c r="L43" s="97">
        <f t="shared" ca="1" si="8"/>
        <v>602.20000000000005</v>
      </c>
      <c r="M43" s="64">
        <v>60</v>
      </c>
      <c r="N43" s="8">
        <v>45935</v>
      </c>
      <c r="O43" s="13"/>
      <c r="P43" s="22"/>
      <c r="Q43" s="3"/>
      <c r="R43" s="8"/>
      <c r="S43" s="13"/>
      <c r="T43" s="31"/>
      <c r="U43" s="33">
        <f t="shared" ref="U43:U56" si="15">(((370-F43)/J43))</f>
        <v>15</v>
      </c>
      <c r="V43" s="8">
        <f>E43+U43</f>
        <v>46011</v>
      </c>
      <c r="W43" s="8">
        <f t="shared" si="9"/>
        <v>46025</v>
      </c>
      <c r="X43" s="13">
        <f t="shared" si="10"/>
        <v>81.666666666664241</v>
      </c>
      <c r="Y43" s="8">
        <f>AA43-Z43</f>
        <v>46092.666666666664</v>
      </c>
      <c r="Z43" s="28">
        <v>35</v>
      </c>
      <c r="AA43" s="29">
        <f t="shared" si="13"/>
        <v>46127.666666666664</v>
      </c>
      <c r="AB43" s="52">
        <f t="shared" si="11"/>
        <v>16</v>
      </c>
      <c r="AD43" s="2"/>
    </row>
    <row r="44" spans="1:30" ht="22.15" customHeight="1" x14ac:dyDescent="0.25">
      <c r="A44" s="9">
        <v>56</v>
      </c>
      <c r="B44" s="86" t="s">
        <v>333</v>
      </c>
      <c r="C44" s="3" t="s">
        <v>6</v>
      </c>
      <c r="D44" s="28">
        <f>17+18+29+1</f>
        <v>65</v>
      </c>
      <c r="E44" s="29">
        <v>46045</v>
      </c>
      <c r="F44" s="3">
        <v>288</v>
      </c>
      <c r="G44" s="3">
        <f t="shared" ca="1" si="12"/>
        <v>95</v>
      </c>
      <c r="H44" s="13">
        <f t="shared" si="14"/>
        <v>194.66666666666666</v>
      </c>
      <c r="I44" s="13">
        <f t="shared" ca="1" si="7"/>
        <v>430.5</v>
      </c>
      <c r="J44" s="9">
        <v>1.5</v>
      </c>
      <c r="K44" s="3">
        <v>580</v>
      </c>
      <c r="L44" s="97">
        <f t="shared" ca="1" si="8"/>
        <v>430.5</v>
      </c>
      <c r="M44" s="64">
        <v>60</v>
      </c>
      <c r="N44" s="8">
        <f>E44+M44</f>
        <v>46105</v>
      </c>
      <c r="O44" s="13">
        <v>398</v>
      </c>
      <c r="P44" s="22">
        <f>(O44-F44)/(N44-E44)</f>
        <v>1.8333333333333333</v>
      </c>
      <c r="Q44" s="3">
        <v>120</v>
      </c>
      <c r="R44" s="8">
        <f>E44+Q44</f>
        <v>46165</v>
      </c>
      <c r="S44" s="13"/>
      <c r="T44" s="31"/>
      <c r="U44" s="33">
        <f t="shared" si="15"/>
        <v>54.666666666666664</v>
      </c>
      <c r="V44" s="8">
        <f>E44+U44</f>
        <v>46099.666666666664</v>
      </c>
      <c r="W44" s="8">
        <f t="shared" si="9"/>
        <v>46113.666666666664</v>
      </c>
      <c r="X44" s="13">
        <f t="shared" si="10"/>
        <v>105</v>
      </c>
      <c r="Y44" s="8">
        <f>AA44-Z44</f>
        <v>46204.666666666664</v>
      </c>
      <c r="Z44" s="28">
        <v>35</v>
      </c>
      <c r="AA44" s="29">
        <f t="shared" si="13"/>
        <v>46239.666666666664</v>
      </c>
      <c r="AB44" s="28">
        <f t="shared" si="11"/>
        <v>32</v>
      </c>
    </row>
    <row r="45" spans="1:30" ht="22.15" customHeight="1" x14ac:dyDescent="0.25">
      <c r="A45" s="9">
        <v>57</v>
      </c>
      <c r="B45" s="3" t="s">
        <v>241</v>
      </c>
      <c r="C45" s="3" t="s">
        <v>6</v>
      </c>
      <c r="D45" s="28">
        <v>65</v>
      </c>
      <c r="E45" s="29">
        <v>45985</v>
      </c>
      <c r="F45" s="3">
        <v>294</v>
      </c>
      <c r="G45" s="13">
        <f t="shared" ca="1" si="12"/>
        <v>155</v>
      </c>
      <c r="H45" s="13">
        <f t="shared" si="14"/>
        <v>158.88888888888889</v>
      </c>
      <c r="I45" s="13">
        <f t="shared" ca="1" si="7"/>
        <v>573</v>
      </c>
      <c r="J45" s="9">
        <v>1.8</v>
      </c>
      <c r="K45" s="3">
        <v>580</v>
      </c>
      <c r="L45" s="97">
        <f t="shared" ca="1" si="8"/>
        <v>573</v>
      </c>
      <c r="M45" s="64">
        <v>60</v>
      </c>
      <c r="N45" s="8">
        <f>E45+M45</f>
        <v>46045</v>
      </c>
      <c r="O45" s="13"/>
      <c r="P45" s="22"/>
      <c r="Q45" s="3"/>
      <c r="R45" s="8"/>
      <c r="S45" s="13"/>
      <c r="T45" s="31"/>
      <c r="U45" s="33">
        <f t="shared" si="15"/>
        <v>42.222222222222221</v>
      </c>
      <c r="V45" s="8">
        <v>46031</v>
      </c>
      <c r="W45" s="8">
        <f t="shared" si="9"/>
        <v>46045</v>
      </c>
      <c r="X45" s="13">
        <f t="shared" si="10"/>
        <v>84</v>
      </c>
      <c r="Y45" s="8">
        <v>46115</v>
      </c>
      <c r="Z45" s="28">
        <v>35</v>
      </c>
      <c r="AA45" s="29">
        <f>Y45+Z45</f>
        <v>46150</v>
      </c>
      <c r="AB45" s="52">
        <f t="shared" si="11"/>
        <v>19</v>
      </c>
    </row>
    <row r="46" spans="1:30" ht="22.15" customHeight="1" x14ac:dyDescent="0.25">
      <c r="A46" s="9">
        <v>58</v>
      </c>
      <c r="B46" s="3" t="s">
        <v>286</v>
      </c>
      <c r="C46" s="3" t="s">
        <v>6</v>
      </c>
      <c r="D46" s="28">
        <f>1+1+6+4+4+6+1</f>
        <v>23</v>
      </c>
      <c r="E46" s="29">
        <v>46034</v>
      </c>
      <c r="F46" s="3">
        <v>346</v>
      </c>
      <c r="G46" s="13">
        <f t="shared" ca="1" si="12"/>
        <v>106</v>
      </c>
      <c r="H46" s="13">
        <f t="shared" si="14"/>
        <v>146.25</v>
      </c>
      <c r="I46" s="13">
        <f t="shared" ca="1" si="7"/>
        <v>515.6</v>
      </c>
      <c r="J46" s="9">
        <v>1.6</v>
      </c>
      <c r="K46" s="3">
        <v>580</v>
      </c>
      <c r="L46" s="97">
        <f t="shared" ca="1" si="8"/>
        <v>515.6</v>
      </c>
      <c r="M46" s="64">
        <v>60</v>
      </c>
      <c r="N46" s="8">
        <v>46091</v>
      </c>
      <c r="O46" s="13">
        <v>482</v>
      </c>
      <c r="P46" s="22">
        <f>(O46-F46)/(N46-E46)</f>
        <v>2.3859649122807016</v>
      </c>
      <c r="Q46" s="3"/>
      <c r="R46" s="8"/>
      <c r="S46" s="13"/>
      <c r="T46" s="31"/>
      <c r="U46" s="33">
        <f t="shared" si="15"/>
        <v>15</v>
      </c>
      <c r="V46" s="8">
        <f t="shared" ref="V46:V55" si="16">E46+U46</f>
        <v>46049</v>
      </c>
      <c r="W46" s="8">
        <f t="shared" si="9"/>
        <v>46063</v>
      </c>
      <c r="X46" s="13">
        <f t="shared" si="10"/>
        <v>96.25</v>
      </c>
      <c r="Y46" s="8">
        <f t="shared" ref="Y46:Y56" si="17">AA46-Z46</f>
        <v>46145.25</v>
      </c>
      <c r="Z46" s="28">
        <v>35</v>
      </c>
      <c r="AA46" s="29">
        <f t="shared" ref="AA46:AA56" si="18">E46+H46</f>
        <v>46180.25</v>
      </c>
      <c r="AB46" s="28">
        <f t="shared" si="11"/>
        <v>23</v>
      </c>
    </row>
    <row r="47" spans="1:30" ht="22.15" customHeight="1" x14ac:dyDescent="0.25">
      <c r="A47" s="9">
        <v>59</v>
      </c>
      <c r="B47" s="86" t="s">
        <v>304</v>
      </c>
      <c r="C47" s="3" t="s">
        <v>6</v>
      </c>
      <c r="D47" s="28">
        <f>19+44</f>
        <v>63</v>
      </c>
      <c r="E47" s="29">
        <v>46030</v>
      </c>
      <c r="F47" s="3">
        <v>283</v>
      </c>
      <c r="G47" s="13">
        <f t="shared" ca="1" si="12"/>
        <v>110</v>
      </c>
      <c r="H47" s="13">
        <f t="shared" si="14"/>
        <v>198</v>
      </c>
      <c r="I47" s="13">
        <f t="shared" ca="1" si="7"/>
        <v>448</v>
      </c>
      <c r="J47" s="9">
        <v>1.5</v>
      </c>
      <c r="K47" s="3">
        <v>580</v>
      </c>
      <c r="L47" s="97">
        <f t="shared" ca="1" si="8"/>
        <v>448</v>
      </c>
      <c r="M47" s="64">
        <v>60</v>
      </c>
      <c r="N47" s="8">
        <v>46091</v>
      </c>
      <c r="O47" s="13">
        <v>377</v>
      </c>
      <c r="P47" s="22">
        <f>(O47-F47)/(N47-E47)</f>
        <v>1.540983606557377</v>
      </c>
      <c r="Q47" s="3">
        <v>120</v>
      </c>
      <c r="R47" s="8">
        <f>E47+Q47</f>
        <v>46150</v>
      </c>
      <c r="S47" s="13"/>
      <c r="T47" s="31"/>
      <c r="U47" s="33">
        <f t="shared" si="15"/>
        <v>58</v>
      </c>
      <c r="V47" s="8">
        <f t="shared" si="16"/>
        <v>46088</v>
      </c>
      <c r="W47" s="8">
        <f t="shared" si="9"/>
        <v>46102</v>
      </c>
      <c r="X47" s="13">
        <f t="shared" si="10"/>
        <v>105</v>
      </c>
      <c r="Y47" s="8">
        <f t="shared" si="17"/>
        <v>46193</v>
      </c>
      <c r="Z47" s="28">
        <v>35</v>
      </c>
      <c r="AA47" s="29">
        <f t="shared" si="18"/>
        <v>46228</v>
      </c>
      <c r="AB47" s="28">
        <f t="shared" si="11"/>
        <v>30</v>
      </c>
    </row>
    <row r="48" spans="1:30" ht="22.15" customHeight="1" x14ac:dyDescent="0.25">
      <c r="A48" s="9">
        <v>60</v>
      </c>
      <c r="B48" s="86" t="s">
        <v>388</v>
      </c>
      <c r="C48" s="3" t="s">
        <v>6</v>
      </c>
      <c r="D48" s="28">
        <f>12+17+1+7+4</f>
        <v>41</v>
      </c>
      <c r="E48" s="29">
        <v>46083</v>
      </c>
      <c r="F48" s="3">
        <v>336</v>
      </c>
      <c r="G48" s="3">
        <f t="shared" ca="1" si="12"/>
        <v>57</v>
      </c>
      <c r="H48" s="13">
        <f t="shared" si="14"/>
        <v>135.55555555555554</v>
      </c>
      <c r="I48" s="13">
        <f t="shared" ca="1" si="7"/>
        <v>438.6</v>
      </c>
      <c r="J48" s="9">
        <v>1.8</v>
      </c>
      <c r="K48" s="3">
        <v>580</v>
      </c>
      <c r="L48" s="97">
        <f t="shared" ca="1" si="8"/>
        <v>438.6</v>
      </c>
      <c r="M48" s="115" t="s">
        <v>178</v>
      </c>
      <c r="N48" s="116"/>
      <c r="O48" s="13"/>
      <c r="P48" s="22"/>
      <c r="Q48" s="3"/>
      <c r="R48" s="8"/>
      <c r="S48" s="13"/>
      <c r="T48" s="31"/>
      <c r="U48" s="33">
        <f t="shared" si="15"/>
        <v>18.888888888888889</v>
      </c>
      <c r="V48" s="8">
        <f t="shared" si="16"/>
        <v>46101.888888888891</v>
      </c>
      <c r="W48" s="8">
        <f t="shared" si="9"/>
        <v>46115.888888888891</v>
      </c>
      <c r="X48" s="13">
        <f t="shared" si="10"/>
        <v>81.666666666664241</v>
      </c>
      <c r="Y48" s="8">
        <f t="shared" si="17"/>
        <v>46183.555555555555</v>
      </c>
      <c r="Z48" s="28">
        <v>35</v>
      </c>
      <c r="AA48" s="29">
        <f t="shared" si="18"/>
        <v>46218.555555555555</v>
      </c>
      <c r="AB48" s="28">
        <f t="shared" si="11"/>
        <v>29</v>
      </c>
    </row>
    <row r="49" spans="1:30" ht="22.9" customHeight="1" x14ac:dyDescent="0.25">
      <c r="A49" s="9">
        <v>61</v>
      </c>
      <c r="B49" s="86" t="s">
        <v>288</v>
      </c>
      <c r="C49" s="3" t="s">
        <v>6</v>
      </c>
      <c r="D49" s="28">
        <v>65</v>
      </c>
      <c r="E49" s="29">
        <v>46020</v>
      </c>
      <c r="F49" s="3">
        <v>273</v>
      </c>
      <c r="G49" s="13">
        <f t="shared" ca="1" si="12"/>
        <v>120</v>
      </c>
      <c r="H49" s="13">
        <f t="shared" si="14"/>
        <v>204.66666666666666</v>
      </c>
      <c r="I49" s="13">
        <f t="shared" ca="1" si="7"/>
        <v>453</v>
      </c>
      <c r="J49" s="9">
        <v>1.5</v>
      </c>
      <c r="K49" s="3">
        <v>580</v>
      </c>
      <c r="L49" s="97">
        <f t="shared" ca="1" si="8"/>
        <v>453</v>
      </c>
      <c r="M49" s="64">
        <v>60</v>
      </c>
      <c r="N49" s="8">
        <f>E49+M49</f>
        <v>46080</v>
      </c>
      <c r="O49" s="13"/>
      <c r="P49" s="22"/>
      <c r="Q49" s="3">
        <v>120</v>
      </c>
      <c r="R49" s="8">
        <f>E49+Q49</f>
        <v>46140</v>
      </c>
      <c r="S49" s="13"/>
      <c r="T49" s="31"/>
      <c r="U49" s="33">
        <f t="shared" si="15"/>
        <v>64.666666666666671</v>
      </c>
      <c r="V49" s="8">
        <f t="shared" si="16"/>
        <v>46084.666666666664</v>
      </c>
      <c r="W49" s="8">
        <f t="shared" si="9"/>
        <v>46098.666666666664</v>
      </c>
      <c r="X49" s="13">
        <f t="shared" si="10"/>
        <v>105</v>
      </c>
      <c r="Y49" s="8">
        <f t="shared" si="17"/>
        <v>46189.666666666664</v>
      </c>
      <c r="Z49" s="28">
        <v>35</v>
      </c>
      <c r="AA49" s="29">
        <f t="shared" si="18"/>
        <v>46224.666666666664</v>
      </c>
      <c r="AB49" s="28">
        <f t="shared" si="11"/>
        <v>30</v>
      </c>
    </row>
    <row r="50" spans="1:30" ht="22.15" customHeight="1" x14ac:dyDescent="0.25">
      <c r="A50" s="9">
        <v>62</v>
      </c>
      <c r="B50" s="3" t="s">
        <v>275</v>
      </c>
      <c r="C50" s="3" t="s">
        <v>6</v>
      </c>
      <c r="D50" s="28">
        <f>2+15+18+28</f>
        <v>63</v>
      </c>
      <c r="E50" s="29">
        <v>46013</v>
      </c>
      <c r="F50" s="3">
        <v>283</v>
      </c>
      <c r="G50" s="13">
        <f t="shared" ca="1" si="12"/>
        <v>127</v>
      </c>
      <c r="H50" s="13">
        <f t="shared" si="14"/>
        <v>198</v>
      </c>
      <c r="I50" s="13">
        <f t="shared" ca="1" si="7"/>
        <v>473.5</v>
      </c>
      <c r="J50" s="9">
        <v>1.5</v>
      </c>
      <c r="K50" s="3">
        <v>580</v>
      </c>
      <c r="L50" s="97">
        <f t="shared" ca="1" si="8"/>
        <v>473.5</v>
      </c>
      <c r="M50" s="64">
        <v>60</v>
      </c>
      <c r="N50" s="8">
        <f>E50+M50</f>
        <v>46073</v>
      </c>
      <c r="O50" s="13">
        <v>390</v>
      </c>
      <c r="P50" s="22">
        <f>(O50-F50)/(N50-E50)</f>
        <v>1.7833333333333334</v>
      </c>
      <c r="Q50" s="3">
        <v>120</v>
      </c>
      <c r="R50" s="8">
        <f>E50+Q50</f>
        <v>46133</v>
      </c>
      <c r="S50" s="13"/>
      <c r="T50" s="31"/>
      <c r="U50" s="82">
        <f t="shared" si="15"/>
        <v>58</v>
      </c>
      <c r="V50" s="70">
        <f t="shared" si="16"/>
        <v>46071</v>
      </c>
      <c r="W50" s="70">
        <f t="shared" si="9"/>
        <v>46085</v>
      </c>
      <c r="X50" s="74">
        <f t="shared" si="10"/>
        <v>105</v>
      </c>
      <c r="Y50" s="70">
        <f t="shared" si="17"/>
        <v>46176</v>
      </c>
      <c r="Z50" s="83">
        <v>35</v>
      </c>
      <c r="AA50" s="84">
        <f t="shared" si="18"/>
        <v>46211</v>
      </c>
      <c r="AB50" s="83">
        <f t="shared" si="11"/>
        <v>28</v>
      </c>
    </row>
    <row r="51" spans="1:30" ht="22.15" customHeight="1" x14ac:dyDescent="0.25">
      <c r="A51" s="9">
        <v>63</v>
      </c>
      <c r="B51" s="86" t="s">
        <v>385</v>
      </c>
      <c r="C51" s="3" t="s">
        <v>6</v>
      </c>
      <c r="D51" s="28">
        <f>26+21+9+2+7</f>
        <v>65</v>
      </c>
      <c r="E51" s="29">
        <v>46077</v>
      </c>
      <c r="F51" s="3">
        <v>231</v>
      </c>
      <c r="G51" s="3">
        <f t="shared" ca="1" si="12"/>
        <v>63</v>
      </c>
      <c r="H51" s="13">
        <f t="shared" si="14"/>
        <v>193.88888888888889</v>
      </c>
      <c r="I51" s="13">
        <f t="shared" ca="1" si="7"/>
        <v>344.4</v>
      </c>
      <c r="J51" s="9">
        <v>1.8</v>
      </c>
      <c r="K51" s="3">
        <v>580</v>
      </c>
      <c r="L51" s="97">
        <f t="shared" ca="1" si="8"/>
        <v>344.4</v>
      </c>
      <c r="M51" s="115" t="s">
        <v>178</v>
      </c>
      <c r="N51" s="116"/>
      <c r="O51" s="13"/>
      <c r="P51" s="22"/>
      <c r="Q51" s="3"/>
      <c r="R51" s="8"/>
      <c r="S51" s="13"/>
      <c r="T51" s="31"/>
      <c r="U51" s="33">
        <f t="shared" si="15"/>
        <v>77.222222222222214</v>
      </c>
      <c r="V51" s="8">
        <f t="shared" si="16"/>
        <v>46154.222222222219</v>
      </c>
      <c r="W51" s="8">
        <f t="shared" si="9"/>
        <v>46168.222222222219</v>
      </c>
      <c r="X51" s="13">
        <f t="shared" si="10"/>
        <v>81.666666666671517</v>
      </c>
      <c r="Y51" s="8">
        <f t="shared" si="17"/>
        <v>46235.888888888891</v>
      </c>
      <c r="Z51" s="28">
        <v>35</v>
      </c>
      <c r="AA51" s="29">
        <f t="shared" si="18"/>
        <v>46270.888888888891</v>
      </c>
      <c r="AB51" s="28">
        <f t="shared" si="11"/>
        <v>36</v>
      </c>
    </row>
    <row r="52" spans="1:30" ht="22.5" customHeight="1" x14ac:dyDescent="0.25">
      <c r="A52" s="9">
        <v>64</v>
      </c>
      <c r="B52" s="86" t="s">
        <v>310</v>
      </c>
      <c r="C52" s="3" t="s">
        <v>6</v>
      </c>
      <c r="D52" s="28">
        <f>6+55+5</f>
        <v>66</v>
      </c>
      <c r="E52" s="29">
        <v>46041</v>
      </c>
      <c r="F52" s="3">
        <v>290</v>
      </c>
      <c r="G52" s="13">
        <f t="shared" ca="1" si="12"/>
        <v>99</v>
      </c>
      <c r="H52" s="13">
        <f t="shared" si="14"/>
        <v>193.33333333333334</v>
      </c>
      <c r="I52" s="13">
        <f t="shared" ca="1" si="7"/>
        <v>438.5</v>
      </c>
      <c r="J52" s="9">
        <v>1.5</v>
      </c>
      <c r="K52" s="3">
        <v>580</v>
      </c>
      <c r="L52" s="97">
        <f t="shared" ca="1" si="8"/>
        <v>438.5</v>
      </c>
      <c r="M52" s="64">
        <v>60</v>
      </c>
      <c r="N52" s="8">
        <v>46099</v>
      </c>
      <c r="O52" s="13">
        <v>399</v>
      </c>
      <c r="P52" s="22">
        <f>(O52-F52)/(N52-E52)</f>
        <v>1.8793103448275863</v>
      </c>
      <c r="Q52" s="3">
        <v>120</v>
      </c>
      <c r="R52" s="8">
        <f>E52+Q52</f>
        <v>46161</v>
      </c>
      <c r="S52" s="13"/>
      <c r="T52" s="31"/>
      <c r="U52" s="33">
        <f t="shared" si="15"/>
        <v>53.333333333333336</v>
      </c>
      <c r="V52" s="8">
        <f t="shared" si="16"/>
        <v>46094.333333333336</v>
      </c>
      <c r="W52" s="8">
        <f t="shared" si="9"/>
        <v>46108.333333333336</v>
      </c>
      <c r="X52" s="13">
        <f t="shared" si="10"/>
        <v>105</v>
      </c>
      <c r="Y52" s="8">
        <f t="shared" si="17"/>
        <v>46199.333333333336</v>
      </c>
      <c r="Z52" s="28">
        <v>35</v>
      </c>
      <c r="AA52" s="29">
        <f t="shared" si="18"/>
        <v>46234.333333333336</v>
      </c>
      <c r="AB52" s="28">
        <f t="shared" si="11"/>
        <v>31</v>
      </c>
    </row>
    <row r="53" spans="1:30" ht="22.15" customHeight="1" x14ac:dyDescent="0.25">
      <c r="A53" s="9">
        <v>65</v>
      </c>
      <c r="B53" s="86" t="s">
        <v>344</v>
      </c>
      <c r="C53" s="3" t="s">
        <v>6</v>
      </c>
      <c r="D53" s="28">
        <f>18+38+3</f>
        <v>59</v>
      </c>
      <c r="E53" s="29">
        <v>46056</v>
      </c>
      <c r="F53" s="3">
        <v>288</v>
      </c>
      <c r="G53" s="13">
        <f t="shared" ca="1" si="12"/>
        <v>84</v>
      </c>
      <c r="H53" s="13">
        <f t="shared" si="14"/>
        <v>194.66666666666666</v>
      </c>
      <c r="I53" s="13">
        <f t="shared" ca="1" si="7"/>
        <v>414</v>
      </c>
      <c r="J53" s="9">
        <v>1.5</v>
      </c>
      <c r="K53" s="3">
        <v>580</v>
      </c>
      <c r="L53" s="97">
        <f t="shared" ca="1" si="8"/>
        <v>414</v>
      </c>
      <c r="M53" s="64">
        <v>60</v>
      </c>
      <c r="N53" s="8">
        <v>46118</v>
      </c>
      <c r="O53" s="13">
        <v>403</v>
      </c>
      <c r="P53" s="22">
        <f>(O53-F53)/(N53-E53)</f>
        <v>1.8548387096774193</v>
      </c>
      <c r="Q53" s="3">
        <v>120</v>
      </c>
      <c r="R53" s="8">
        <f>E53+Q53</f>
        <v>46176</v>
      </c>
      <c r="S53" s="13"/>
      <c r="T53" s="31"/>
      <c r="U53" s="33">
        <f t="shared" si="15"/>
        <v>54.666666666666664</v>
      </c>
      <c r="V53" s="8">
        <f t="shared" si="16"/>
        <v>46110.666666666664</v>
      </c>
      <c r="W53" s="8">
        <f t="shared" si="9"/>
        <v>46124.666666666664</v>
      </c>
      <c r="X53" s="13">
        <f t="shared" si="10"/>
        <v>105</v>
      </c>
      <c r="Y53" s="8">
        <f t="shared" si="17"/>
        <v>46215.666666666664</v>
      </c>
      <c r="Z53" s="28">
        <v>35</v>
      </c>
      <c r="AA53" s="29">
        <f t="shared" si="18"/>
        <v>46250.666666666664</v>
      </c>
      <c r="AB53" s="28">
        <f t="shared" si="11"/>
        <v>33</v>
      </c>
    </row>
    <row r="54" spans="1:30" ht="22.15" customHeight="1" x14ac:dyDescent="0.25">
      <c r="A54" s="9">
        <v>66</v>
      </c>
      <c r="B54" s="86" t="s">
        <v>273</v>
      </c>
      <c r="C54" s="3" t="s">
        <v>6</v>
      </c>
      <c r="D54" s="28">
        <f>20+29+16</f>
        <v>65</v>
      </c>
      <c r="E54" s="29">
        <v>46006</v>
      </c>
      <c r="F54" s="3">
        <v>281</v>
      </c>
      <c r="G54" s="13">
        <f t="shared" ca="1" si="12"/>
        <v>134</v>
      </c>
      <c r="H54" s="13">
        <f t="shared" si="14"/>
        <v>199.33333333333334</v>
      </c>
      <c r="I54" s="13">
        <f t="shared" ca="1" si="7"/>
        <v>482</v>
      </c>
      <c r="J54" s="9">
        <v>1.5</v>
      </c>
      <c r="K54" s="3">
        <v>580</v>
      </c>
      <c r="L54" s="97">
        <f t="shared" ca="1" si="8"/>
        <v>482</v>
      </c>
      <c r="M54" s="64">
        <v>60</v>
      </c>
      <c r="N54" s="8">
        <f>E54+M54</f>
        <v>46066</v>
      </c>
      <c r="O54" s="13">
        <v>367</v>
      </c>
      <c r="P54" s="22">
        <f>(O54-F54)/(N54-E54)</f>
        <v>1.4333333333333333</v>
      </c>
      <c r="Q54" s="3">
        <v>120</v>
      </c>
      <c r="R54" s="8">
        <v>46127</v>
      </c>
      <c r="S54" s="13">
        <v>492</v>
      </c>
      <c r="T54" s="22">
        <f>(S54-F54)/(R54-E54)</f>
        <v>1.7438016528925619</v>
      </c>
      <c r="U54" s="33">
        <f t="shared" si="15"/>
        <v>59.333333333333336</v>
      </c>
      <c r="V54" s="8">
        <f t="shared" si="16"/>
        <v>46065.333333333336</v>
      </c>
      <c r="W54" s="8">
        <f t="shared" si="9"/>
        <v>46079.333333333336</v>
      </c>
      <c r="X54" s="13">
        <f t="shared" si="10"/>
        <v>105</v>
      </c>
      <c r="Y54" s="8">
        <f t="shared" si="17"/>
        <v>46170.333333333336</v>
      </c>
      <c r="Z54" s="28">
        <v>35</v>
      </c>
      <c r="AA54" s="29">
        <f t="shared" si="18"/>
        <v>46205.333333333336</v>
      </c>
      <c r="AB54" s="28">
        <f t="shared" si="11"/>
        <v>27</v>
      </c>
    </row>
    <row r="55" spans="1:30" ht="22.15" customHeight="1" x14ac:dyDescent="0.25">
      <c r="A55" s="9">
        <v>67</v>
      </c>
      <c r="B55" s="86" t="s">
        <v>377</v>
      </c>
      <c r="C55" s="3" t="s">
        <v>6</v>
      </c>
      <c r="D55" s="28">
        <f>7+44+9+2+3</f>
        <v>65</v>
      </c>
      <c r="E55" s="29">
        <v>46078</v>
      </c>
      <c r="F55" s="3">
        <v>304</v>
      </c>
      <c r="G55" s="3">
        <f t="shared" ca="1" si="12"/>
        <v>62</v>
      </c>
      <c r="H55" s="13">
        <f t="shared" si="14"/>
        <v>153.33333333333334</v>
      </c>
      <c r="I55" s="13">
        <f t="shared" ca="1" si="7"/>
        <v>415.6</v>
      </c>
      <c r="J55" s="9">
        <v>1.8</v>
      </c>
      <c r="K55" s="3">
        <v>580</v>
      </c>
      <c r="L55" s="97">
        <f t="shared" ca="1" si="8"/>
        <v>415.6</v>
      </c>
      <c r="M55" s="115" t="s">
        <v>178</v>
      </c>
      <c r="N55" s="116"/>
      <c r="O55" s="13"/>
      <c r="P55" s="22"/>
      <c r="Q55" s="3"/>
      <c r="R55" s="8"/>
      <c r="S55" s="13"/>
      <c r="T55" s="31"/>
      <c r="U55" s="33">
        <f t="shared" si="15"/>
        <v>36.666666666666664</v>
      </c>
      <c r="V55" s="8">
        <f t="shared" si="16"/>
        <v>46114.666666666664</v>
      </c>
      <c r="W55" s="8">
        <f t="shared" si="9"/>
        <v>46128.666666666664</v>
      </c>
      <c r="X55" s="13">
        <f t="shared" si="10"/>
        <v>81.666666666671517</v>
      </c>
      <c r="Y55" s="8">
        <f t="shared" si="17"/>
        <v>46196.333333333336</v>
      </c>
      <c r="Z55" s="28">
        <v>35</v>
      </c>
      <c r="AA55" s="29">
        <f t="shared" si="18"/>
        <v>46231.333333333336</v>
      </c>
      <c r="AB55" s="28">
        <f t="shared" si="11"/>
        <v>31</v>
      </c>
    </row>
    <row r="56" spans="1:30" ht="22.15" customHeight="1" x14ac:dyDescent="0.25">
      <c r="A56" s="9">
        <v>68</v>
      </c>
      <c r="B56" s="86" t="s">
        <v>328</v>
      </c>
      <c r="C56" s="3" t="s">
        <v>6</v>
      </c>
      <c r="D56" s="28">
        <f>12+5+1+2+4+2+2+3+2+2+11+12+6</f>
        <v>64</v>
      </c>
      <c r="E56" s="29">
        <v>46077</v>
      </c>
      <c r="F56" s="3">
        <v>340</v>
      </c>
      <c r="G56" s="13">
        <f t="shared" ca="1" si="12"/>
        <v>63</v>
      </c>
      <c r="H56" s="13">
        <f t="shared" si="14"/>
        <v>150</v>
      </c>
      <c r="I56" s="13">
        <f t="shared" ca="1" si="7"/>
        <v>440.8</v>
      </c>
      <c r="J56" s="9">
        <v>1.6</v>
      </c>
      <c r="K56" s="3">
        <v>580</v>
      </c>
      <c r="L56" s="97">
        <f t="shared" ca="1" si="8"/>
        <v>440.8</v>
      </c>
      <c r="M56" s="64">
        <v>60</v>
      </c>
      <c r="N56" s="8">
        <f>E56+M56</f>
        <v>46137</v>
      </c>
      <c r="O56" s="13"/>
      <c r="P56" s="22"/>
      <c r="Q56" s="3">
        <v>120</v>
      </c>
      <c r="R56" s="8">
        <f>E56+Q56</f>
        <v>46197</v>
      </c>
      <c r="S56" s="13"/>
      <c r="T56" s="31"/>
      <c r="U56" s="33">
        <f t="shared" si="15"/>
        <v>18.75</v>
      </c>
      <c r="V56" s="8">
        <v>46031</v>
      </c>
      <c r="W56" s="8">
        <f t="shared" si="9"/>
        <v>46045</v>
      </c>
      <c r="X56" s="13">
        <f t="shared" si="10"/>
        <v>161</v>
      </c>
      <c r="Y56" s="8">
        <f t="shared" si="17"/>
        <v>46192</v>
      </c>
      <c r="Z56" s="28">
        <v>35</v>
      </c>
      <c r="AA56" s="29">
        <f t="shared" si="18"/>
        <v>46227</v>
      </c>
      <c r="AB56" s="28">
        <f t="shared" si="11"/>
        <v>30</v>
      </c>
      <c r="AD56" s="2"/>
    </row>
    <row r="57" spans="1:30" ht="22.15" customHeight="1" x14ac:dyDescent="0.25">
      <c r="A57" s="9">
        <v>69</v>
      </c>
      <c r="B57" s="3"/>
      <c r="C57" s="3"/>
      <c r="D57" s="28"/>
      <c r="E57" s="29"/>
      <c r="F57" s="3"/>
      <c r="G57" s="13"/>
      <c r="H57" s="13"/>
      <c r="I57" s="13"/>
      <c r="J57" s="9"/>
      <c r="K57" s="3"/>
      <c r="L57" s="97"/>
      <c r="M57" s="64"/>
      <c r="N57" s="8"/>
      <c r="O57" s="13"/>
      <c r="P57" s="22"/>
      <c r="Q57" s="3"/>
      <c r="R57" s="8"/>
      <c r="S57" s="13"/>
      <c r="T57" s="31"/>
      <c r="U57" s="33"/>
      <c r="V57" s="8"/>
      <c r="W57" s="8"/>
      <c r="X57" s="13"/>
      <c r="Y57" s="8"/>
      <c r="Z57" s="28"/>
      <c r="AA57" s="29"/>
      <c r="AB57" s="53"/>
      <c r="AD57" s="2"/>
    </row>
    <row r="58" spans="1:30" ht="22.9" customHeight="1" x14ac:dyDescent="0.25">
      <c r="A58" s="9">
        <v>70</v>
      </c>
      <c r="B58" s="86" t="s">
        <v>332</v>
      </c>
      <c r="C58" s="3" t="s">
        <v>6</v>
      </c>
      <c r="D58" s="28">
        <f>1+2+6+1+4+42+7</f>
        <v>63</v>
      </c>
      <c r="E58" s="29">
        <v>46078</v>
      </c>
      <c r="F58" s="92">
        <v>373</v>
      </c>
      <c r="G58" s="13">
        <f t="shared" ref="G58:G86" ca="1" si="19">B$3-E58</f>
        <v>62</v>
      </c>
      <c r="H58" s="13">
        <f t="shared" ref="H58:H86" si="20">(K58-F58)/J58</f>
        <v>115</v>
      </c>
      <c r="I58" s="13">
        <f t="shared" ref="I58:I86" ca="1" si="21">F58+(G58*J58)</f>
        <v>484.6</v>
      </c>
      <c r="J58" s="9">
        <v>1.8</v>
      </c>
      <c r="K58" s="3">
        <v>580</v>
      </c>
      <c r="L58" s="97">
        <f t="shared" ref="L58:L86" ca="1" si="22">F58+(G58*J58)</f>
        <v>484.6</v>
      </c>
      <c r="M58" s="115" t="s">
        <v>178</v>
      </c>
      <c r="N58" s="116"/>
      <c r="O58" s="93"/>
      <c r="P58" s="95"/>
      <c r="Q58" s="92"/>
      <c r="R58" s="94"/>
      <c r="S58" s="93"/>
      <c r="T58" s="96"/>
      <c r="U58" s="33">
        <f t="shared" ref="U58:U71" si="23">(((370-F58)/J58))</f>
        <v>-1.6666666666666665</v>
      </c>
      <c r="V58" s="8">
        <v>46038</v>
      </c>
      <c r="W58" s="8">
        <f t="shared" ref="W58:W86" si="24">V58+$W$3</f>
        <v>46052</v>
      </c>
      <c r="X58" s="13">
        <f t="shared" ref="X58:X86" si="25">Y58-V58</f>
        <v>120</v>
      </c>
      <c r="Y58" s="8">
        <f>AA58-Z58</f>
        <v>46158</v>
      </c>
      <c r="Z58" s="28">
        <v>35</v>
      </c>
      <c r="AA58" s="29">
        <f>E58+H58</f>
        <v>46193</v>
      </c>
      <c r="AB58" s="28">
        <f t="shared" ref="AB58:AB86" si="26">_xlfn.ISOWEEKNUM(AA58)</f>
        <v>25</v>
      </c>
    </row>
    <row r="59" spans="1:30" ht="22.15" customHeight="1" x14ac:dyDescent="0.25">
      <c r="A59" s="9">
        <v>71</v>
      </c>
      <c r="B59" s="86" t="s">
        <v>384</v>
      </c>
      <c r="C59" s="3" t="s">
        <v>6</v>
      </c>
      <c r="D59" s="28">
        <f>1+15+11+3</f>
        <v>30</v>
      </c>
      <c r="E59" s="29">
        <v>46079</v>
      </c>
      <c r="F59" s="3">
        <v>444</v>
      </c>
      <c r="G59" s="3">
        <f t="shared" ca="1" si="19"/>
        <v>61</v>
      </c>
      <c r="H59" s="13">
        <f t="shared" si="20"/>
        <v>75.555555555555557</v>
      </c>
      <c r="I59" s="13">
        <f t="shared" ca="1" si="21"/>
        <v>553.79999999999995</v>
      </c>
      <c r="J59" s="9">
        <v>1.8</v>
      </c>
      <c r="K59" s="3">
        <v>580</v>
      </c>
      <c r="L59" s="97">
        <f t="shared" ca="1" si="22"/>
        <v>553.79999999999995</v>
      </c>
      <c r="M59" s="115" t="s">
        <v>178</v>
      </c>
      <c r="N59" s="116"/>
      <c r="O59" s="13"/>
      <c r="P59" s="22"/>
      <c r="Q59" s="3"/>
      <c r="R59" s="8"/>
      <c r="S59" s="13"/>
      <c r="T59" s="31"/>
      <c r="U59" s="33">
        <f t="shared" si="23"/>
        <v>-41.111111111111107</v>
      </c>
      <c r="V59" s="8">
        <v>46092</v>
      </c>
      <c r="W59" s="8">
        <f t="shared" si="24"/>
        <v>46106</v>
      </c>
      <c r="X59" s="13">
        <f t="shared" si="25"/>
        <v>30</v>
      </c>
      <c r="Y59" s="8">
        <v>46122</v>
      </c>
      <c r="Z59" s="28">
        <v>35</v>
      </c>
      <c r="AA59" s="29">
        <f>Y59+Z59</f>
        <v>46157</v>
      </c>
      <c r="AB59" s="52">
        <f t="shared" si="26"/>
        <v>20</v>
      </c>
    </row>
    <row r="60" spans="1:30" ht="22.15" customHeight="1" x14ac:dyDescent="0.25">
      <c r="A60" s="9">
        <v>72</v>
      </c>
      <c r="B60" s="86" t="s">
        <v>362</v>
      </c>
      <c r="C60" s="3" t="s">
        <v>6</v>
      </c>
      <c r="D60" s="28">
        <f>22+21+6+1+7</f>
        <v>57</v>
      </c>
      <c r="E60" s="29">
        <v>46072</v>
      </c>
      <c r="F60" s="3">
        <v>303</v>
      </c>
      <c r="G60" s="13">
        <f t="shared" ca="1" si="19"/>
        <v>68</v>
      </c>
      <c r="H60" s="13">
        <f t="shared" si="20"/>
        <v>178.70967741935485</v>
      </c>
      <c r="I60" s="13">
        <f t="shared" ca="1" si="21"/>
        <v>408.4</v>
      </c>
      <c r="J60" s="9">
        <v>1.55</v>
      </c>
      <c r="K60" s="3">
        <v>580</v>
      </c>
      <c r="L60" s="97">
        <f t="shared" ca="1" si="22"/>
        <v>408.4</v>
      </c>
      <c r="M60" s="64">
        <v>60</v>
      </c>
      <c r="N60" s="8">
        <f>E60+M60</f>
        <v>46132</v>
      </c>
      <c r="O60" s="13"/>
      <c r="P60" s="22"/>
      <c r="Q60" s="115" t="s">
        <v>178</v>
      </c>
      <c r="R60" s="116"/>
      <c r="S60" s="13"/>
      <c r="T60" s="31"/>
      <c r="U60" s="33">
        <f t="shared" si="23"/>
        <v>43.225806451612904</v>
      </c>
      <c r="V60" s="8">
        <f t="shared" ref="V60:V68" si="27">E60+U60</f>
        <v>46115.225806451614</v>
      </c>
      <c r="W60" s="8">
        <f t="shared" si="24"/>
        <v>46129.225806451614</v>
      </c>
      <c r="X60" s="13">
        <f t="shared" si="25"/>
        <v>100.4838709677424</v>
      </c>
      <c r="Y60" s="8">
        <f t="shared" ref="Y60:Y86" si="28">AA60-Z60</f>
        <v>46215.709677419356</v>
      </c>
      <c r="Z60" s="28">
        <v>35</v>
      </c>
      <c r="AA60" s="29">
        <f t="shared" ref="AA60:AA86" si="29">E60+H60</f>
        <v>46250.709677419356</v>
      </c>
      <c r="AB60" s="28">
        <f t="shared" si="26"/>
        <v>33</v>
      </c>
    </row>
    <row r="61" spans="1:30" ht="22.15" customHeight="1" x14ac:dyDescent="0.25">
      <c r="A61" s="9">
        <v>73</v>
      </c>
      <c r="B61" s="86" t="s">
        <v>386</v>
      </c>
      <c r="C61" s="3" t="s">
        <v>6</v>
      </c>
      <c r="D61" s="28">
        <f>23+8+3+7+1+20</f>
        <v>62</v>
      </c>
      <c r="E61" s="29">
        <v>46094</v>
      </c>
      <c r="F61" s="3">
        <v>284</v>
      </c>
      <c r="G61" s="13">
        <f t="shared" ca="1" si="19"/>
        <v>46</v>
      </c>
      <c r="H61" s="13">
        <f t="shared" si="20"/>
        <v>197.33333333333334</v>
      </c>
      <c r="I61" s="13">
        <f t="shared" ca="1" si="21"/>
        <v>353</v>
      </c>
      <c r="J61" s="9">
        <v>1.5</v>
      </c>
      <c r="K61" s="3">
        <v>580</v>
      </c>
      <c r="L61" s="97">
        <f t="shared" ca="1" si="22"/>
        <v>353</v>
      </c>
      <c r="M61" s="64">
        <v>60</v>
      </c>
      <c r="N61" s="8">
        <f>E61+M61</f>
        <v>46154</v>
      </c>
      <c r="O61" s="13"/>
      <c r="P61" s="22"/>
      <c r="Q61" s="3">
        <v>120</v>
      </c>
      <c r="R61" s="8">
        <f>E61+Q61</f>
        <v>46214</v>
      </c>
      <c r="S61" s="13"/>
      <c r="T61" s="31"/>
      <c r="U61" s="33">
        <f t="shared" si="23"/>
        <v>57.333333333333336</v>
      </c>
      <c r="V61" s="8">
        <f t="shared" si="27"/>
        <v>46151.333333333336</v>
      </c>
      <c r="W61" s="8">
        <f t="shared" si="24"/>
        <v>46165.333333333336</v>
      </c>
      <c r="X61" s="13">
        <f t="shared" si="25"/>
        <v>105</v>
      </c>
      <c r="Y61" s="8">
        <f t="shared" si="28"/>
        <v>46256.333333333336</v>
      </c>
      <c r="Z61" s="28">
        <v>35</v>
      </c>
      <c r="AA61" s="29">
        <f t="shared" si="29"/>
        <v>46291.333333333336</v>
      </c>
      <c r="AB61" s="28">
        <f t="shared" si="26"/>
        <v>39</v>
      </c>
    </row>
    <row r="62" spans="1:30" ht="22.5" customHeight="1" x14ac:dyDescent="0.25">
      <c r="A62" s="9">
        <v>74</v>
      </c>
      <c r="B62" s="86" t="s">
        <v>387</v>
      </c>
      <c r="C62" s="3" t="s">
        <v>6</v>
      </c>
      <c r="D62" s="28">
        <f>14+11+1+5+2+1+2+1+7+1</f>
        <v>45</v>
      </c>
      <c r="E62" s="29">
        <v>46121</v>
      </c>
      <c r="F62" s="3">
        <v>310</v>
      </c>
      <c r="G62" s="13">
        <f t="shared" ca="1" si="19"/>
        <v>19</v>
      </c>
      <c r="H62" s="13">
        <f t="shared" si="20"/>
        <v>174.83870967741936</v>
      </c>
      <c r="I62" s="13">
        <f t="shared" ca="1" si="21"/>
        <v>339.45</v>
      </c>
      <c r="J62" s="9">
        <v>1.55</v>
      </c>
      <c r="K62" s="3">
        <v>581</v>
      </c>
      <c r="L62" s="97">
        <f t="shared" ca="1" si="22"/>
        <v>339.45</v>
      </c>
      <c r="M62" s="64">
        <v>61</v>
      </c>
      <c r="N62" s="8">
        <f>E62+M62</f>
        <v>46182</v>
      </c>
      <c r="O62" s="13"/>
      <c r="P62" s="22"/>
      <c r="Q62" s="3">
        <v>121</v>
      </c>
      <c r="R62" s="8">
        <f>E62+Q62</f>
        <v>46242</v>
      </c>
      <c r="S62" s="13"/>
      <c r="T62" s="31"/>
      <c r="U62" s="33">
        <f t="shared" si="23"/>
        <v>38.70967741935484</v>
      </c>
      <c r="V62" s="8">
        <f t="shared" si="27"/>
        <v>46159.709677419356</v>
      </c>
      <c r="W62" s="8">
        <f t="shared" si="24"/>
        <v>46173.709677419356</v>
      </c>
      <c r="X62" s="13">
        <f t="shared" si="25"/>
        <v>101.12903225806076</v>
      </c>
      <c r="Y62" s="8">
        <f t="shared" si="28"/>
        <v>46260.838709677417</v>
      </c>
      <c r="Z62" s="28">
        <v>35</v>
      </c>
      <c r="AA62" s="29">
        <f t="shared" si="29"/>
        <v>46295.838709677417</v>
      </c>
      <c r="AB62" s="28">
        <f t="shared" si="26"/>
        <v>40</v>
      </c>
    </row>
    <row r="63" spans="1:30" ht="22.15" customHeight="1" x14ac:dyDescent="0.25">
      <c r="A63" s="9">
        <v>75</v>
      </c>
      <c r="B63" s="86" t="s">
        <v>289</v>
      </c>
      <c r="C63" s="3" t="s">
        <v>6</v>
      </c>
      <c r="D63" s="28">
        <f>41+22+2</f>
        <v>65</v>
      </c>
      <c r="E63" s="29">
        <v>46024</v>
      </c>
      <c r="F63" s="3">
        <v>286</v>
      </c>
      <c r="G63" s="13">
        <f t="shared" ca="1" si="19"/>
        <v>116</v>
      </c>
      <c r="H63" s="13">
        <f t="shared" si="20"/>
        <v>196</v>
      </c>
      <c r="I63" s="13">
        <f t="shared" ca="1" si="21"/>
        <v>460</v>
      </c>
      <c r="J63" s="9">
        <v>1.5</v>
      </c>
      <c r="K63" s="3">
        <v>580</v>
      </c>
      <c r="L63" s="97">
        <f t="shared" ca="1" si="22"/>
        <v>460</v>
      </c>
      <c r="M63" s="64">
        <v>60</v>
      </c>
      <c r="N63" s="8">
        <v>46085</v>
      </c>
      <c r="O63" s="13">
        <v>393</v>
      </c>
      <c r="P63" s="22">
        <f>(O63-F63)/(N63-E63)</f>
        <v>1.7540983606557377</v>
      </c>
      <c r="Q63" s="3">
        <v>120</v>
      </c>
      <c r="R63" s="8">
        <f>E63+Q63</f>
        <v>46144</v>
      </c>
      <c r="S63" s="13"/>
      <c r="T63" s="31"/>
      <c r="U63" s="33">
        <f t="shared" si="23"/>
        <v>56</v>
      </c>
      <c r="V63" s="8">
        <f t="shared" si="27"/>
        <v>46080</v>
      </c>
      <c r="W63" s="8">
        <f t="shared" si="24"/>
        <v>46094</v>
      </c>
      <c r="X63" s="13">
        <f t="shared" si="25"/>
        <v>105</v>
      </c>
      <c r="Y63" s="8">
        <f t="shared" si="28"/>
        <v>46185</v>
      </c>
      <c r="Z63" s="28">
        <v>35</v>
      </c>
      <c r="AA63" s="29">
        <f t="shared" si="29"/>
        <v>46220</v>
      </c>
      <c r="AB63" s="28">
        <f t="shared" si="26"/>
        <v>29</v>
      </c>
    </row>
    <row r="64" spans="1:30" ht="22.15" customHeight="1" x14ac:dyDescent="0.25">
      <c r="A64" s="9">
        <v>76</v>
      </c>
      <c r="B64" s="86" t="s">
        <v>414</v>
      </c>
      <c r="C64" s="3" t="s">
        <v>6</v>
      </c>
      <c r="D64" s="28">
        <f>5+5+12+13-1+10+2+1+2+14</f>
        <v>63</v>
      </c>
      <c r="E64" s="29">
        <v>46127</v>
      </c>
      <c r="F64" s="3">
        <v>285</v>
      </c>
      <c r="G64" s="13">
        <f t="shared" ca="1" si="19"/>
        <v>13</v>
      </c>
      <c r="H64" s="13">
        <f t="shared" si="20"/>
        <v>196.66666666666666</v>
      </c>
      <c r="I64" s="13">
        <f t="shared" ca="1" si="21"/>
        <v>304.5</v>
      </c>
      <c r="J64" s="9">
        <v>1.5</v>
      </c>
      <c r="K64" s="3">
        <v>580</v>
      </c>
      <c r="L64" s="97">
        <f t="shared" ca="1" si="22"/>
        <v>304.5</v>
      </c>
      <c r="M64" s="64">
        <v>60</v>
      </c>
      <c r="N64" s="8">
        <f>E64+M64</f>
        <v>46187</v>
      </c>
      <c r="O64" s="13"/>
      <c r="P64" s="22"/>
      <c r="Q64" s="3">
        <v>120</v>
      </c>
      <c r="R64" s="8">
        <f>E64+Q64</f>
        <v>46247</v>
      </c>
      <c r="S64" s="13"/>
      <c r="T64" s="31"/>
      <c r="U64" s="33">
        <f t="shared" si="23"/>
        <v>56.666666666666664</v>
      </c>
      <c r="V64" s="8">
        <f t="shared" si="27"/>
        <v>46183.666666666664</v>
      </c>
      <c r="W64" s="8">
        <f t="shared" si="24"/>
        <v>46197.666666666664</v>
      </c>
      <c r="X64" s="13">
        <f t="shared" si="25"/>
        <v>105</v>
      </c>
      <c r="Y64" s="8">
        <f t="shared" si="28"/>
        <v>46288.666666666664</v>
      </c>
      <c r="Z64" s="28">
        <v>35</v>
      </c>
      <c r="AA64" s="29">
        <f t="shared" si="29"/>
        <v>46323.666666666664</v>
      </c>
      <c r="AB64" s="28">
        <f t="shared" si="26"/>
        <v>44</v>
      </c>
    </row>
    <row r="65" spans="1:28" ht="22.15" customHeight="1" x14ac:dyDescent="0.25">
      <c r="A65" s="9">
        <v>77</v>
      </c>
      <c r="B65" s="86" t="s">
        <v>329</v>
      </c>
      <c r="C65" s="3" t="s">
        <v>6</v>
      </c>
      <c r="D65" s="28">
        <f>6+1+2+2+20+19+14</f>
        <v>64</v>
      </c>
      <c r="E65" s="29">
        <v>46079</v>
      </c>
      <c r="F65" s="3">
        <v>405</v>
      </c>
      <c r="G65" s="3">
        <f t="shared" ca="1" si="19"/>
        <v>61</v>
      </c>
      <c r="H65" s="13">
        <f t="shared" si="20"/>
        <v>97.222222222222214</v>
      </c>
      <c r="I65" s="13">
        <f t="shared" ca="1" si="21"/>
        <v>514.79999999999995</v>
      </c>
      <c r="J65" s="9">
        <v>1.8</v>
      </c>
      <c r="K65" s="3">
        <v>580</v>
      </c>
      <c r="L65" s="97">
        <f t="shared" ca="1" si="22"/>
        <v>514.79999999999995</v>
      </c>
      <c r="M65" s="115" t="s">
        <v>178</v>
      </c>
      <c r="N65" s="116"/>
      <c r="O65" s="13"/>
      <c r="P65" s="22"/>
      <c r="Q65" s="3"/>
      <c r="R65" s="8"/>
      <c r="S65" s="13"/>
      <c r="T65" s="31"/>
      <c r="U65" s="33">
        <f t="shared" si="23"/>
        <v>-19.444444444444443</v>
      </c>
      <c r="V65" s="8">
        <f t="shared" si="27"/>
        <v>46059.555555555555</v>
      </c>
      <c r="W65" s="8">
        <f t="shared" si="24"/>
        <v>46073.555555555555</v>
      </c>
      <c r="X65" s="13">
        <f t="shared" si="25"/>
        <v>81.666666666664241</v>
      </c>
      <c r="Y65" s="8">
        <f t="shared" si="28"/>
        <v>46141.222222222219</v>
      </c>
      <c r="Z65" s="28">
        <v>35</v>
      </c>
      <c r="AA65" s="29">
        <f t="shared" si="29"/>
        <v>46176.222222222219</v>
      </c>
      <c r="AB65" s="28">
        <f t="shared" si="26"/>
        <v>23</v>
      </c>
    </row>
    <row r="66" spans="1:28" ht="22.15" customHeight="1" x14ac:dyDescent="0.25">
      <c r="A66" s="9">
        <v>78</v>
      </c>
      <c r="B66" s="3" t="s">
        <v>242</v>
      </c>
      <c r="C66" s="3" t="s">
        <v>6</v>
      </c>
      <c r="D66" s="28">
        <f>48+4</f>
        <v>52</v>
      </c>
      <c r="E66" s="29">
        <v>45992</v>
      </c>
      <c r="F66" s="3">
        <v>228</v>
      </c>
      <c r="G66" s="3">
        <f t="shared" ca="1" si="19"/>
        <v>148</v>
      </c>
      <c r="H66" s="13">
        <f t="shared" si="20"/>
        <v>195.55555555555554</v>
      </c>
      <c r="I66" s="13">
        <f t="shared" ca="1" si="21"/>
        <v>494.40000000000003</v>
      </c>
      <c r="J66" s="9">
        <v>1.8</v>
      </c>
      <c r="K66" s="3">
        <v>580</v>
      </c>
      <c r="L66" s="97">
        <f t="shared" ca="1" si="22"/>
        <v>494.40000000000003</v>
      </c>
      <c r="M66" s="64">
        <v>60</v>
      </c>
      <c r="N66" s="8">
        <f>E66+M66</f>
        <v>46052</v>
      </c>
      <c r="O66" s="13">
        <v>347</v>
      </c>
      <c r="P66" s="22">
        <f>(O66-F66)/(N66-E66)</f>
        <v>1.9833333333333334</v>
      </c>
      <c r="Q66" s="3">
        <v>120</v>
      </c>
      <c r="R66" s="8">
        <f>E66+Q66</f>
        <v>46112</v>
      </c>
      <c r="S66" s="13"/>
      <c r="T66" s="31"/>
      <c r="U66" s="33">
        <f t="shared" si="23"/>
        <v>78.888888888888886</v>
      </c>
      <c r="V66" s="8">
        <f t="shared" si="27"/>
        <v>46070.888888888891</v>
      </c>
      <c r="W66" s="8">
        <f t="shared" si="24"/>
        <v>46084.888888888891</v>
      </c>
      <c r="X66" s="13">
        <f t="shared" si="25"/>
        <v>81.666666666664241</v>
      </c>
      <c r="Y66" s="8">
        <f t="shared" si="28"/>
        <v>46152.555555555555</v>
      </c>
      <c r="Z66" s="28">
        <v>35</v>
      </c>
      <c r="AA66" s="29">
        <f t="shared" si="29"/>
        <v>46187.555555555555</v>
      </c>
      <c r="AB66" s="28">
        <f t="shared" si="26"/>
        <v>24</v>
      </c>
    </row>
    <row r="67" spans="1:28" ht="22.5" customHeight="1" x14ac:dyDescent="0.25">
      <c r="A67" s="9">
        <v>79</v>
      </c>
      <c r="B67" s="86" t="s">
        <v>383</v>
      </c>
      <c r="C67" s="3" t="s">
        <v>6</v>
      </c>
      <c r="D67" s="28">
        <f>23+29+14</f>
        <v>66</v>
      </c>
      <c r="E67" s="29">
        <v>46079</v>
      </c>
      <c r="F67" s="3">
        <v>345</v>
      </c>
      <c r="G67" s="3">
        <f t="shared" ca="1" si="19"/>
        <v>61</v>
      </c>
      <c r="H67" s="13">
        <f t="shared" si="20"/>
        <v>130.55555555555554</v>
      </c>
      <c r="I67" s="13">
        <f t="shared" ca="1" si="21"/>
        <v>454.8</v>
      </c>
      <c r="J67" s="9">
        <v>1.8</v>
      </c>
      <c r="K67" s="3">
        <v>580</v>
      </c>
      <c r="L67" s="97">
        <f t="shared" ca="1" si="22"/>
        <v>454.8</v>
      </c>
      <c r="M67" s="115" t="s">
        <v>178</v>
      </c>
      <c r="N67" s="116"/>
      <c r="O67" s="13"/>
      <c r="P67" s="22"/>
      <c r="Q67" s="3"/>
      <c r="R67" s="8"/>
      <c r="S67" s="13"/>
      <c r="T67" s="31"/>
      <c r="U67" s="33">
        <f t="shared" si="23"/>
        <v>13.888888888888889</v>
      </c>
      <c r="V67" s="8">
        <f t="shared" si="27"/>
        <v>46092.888888888891</v>
      </c>
      <c r="W67" s="8">
        <f t="shared" si="24"/>
        <v>46106.888888888891</v>
      </c>
      <c r="X67" s="13">
        <f t="shared" si="25"/>
        <v>81.666666666664241</v>
      </c>
      <c r="Y67" s="8">
        <f t="shared" si="28"/>
        <v>46174.555555555555</v>
      </c>
      <c r="Z67" s="28">
        <v>35</v>
      </c>
      <c r="AA67" s="29">
        <f t="shared" si="29"/>
        <v>46209.555555555555</v>
      </c>
      <c r="AB67" s="28">
        <f t="shared" si="26"/>
        <v>28</v>
      </c>
    </row>
    <row r="68" spans="1:28" ht="22.15" customHeight="1" x14ac:dyDescent="0.25">
      <c r="A68" s="9">
        <v>80</v>
      </c>
      <c r="B68" s="86" t="s">
        <v>353</v>
      </c>
      <c r="C68" s="3" t="s">
        <v>6</v>
      </c>
      <c r="D68" s="28">
        <v>65</v>
      </c>
      <c r="E68" s="29">
        <v>46058</v>
      </c>
      <c r="F68" s="3">
        <v>284</v>
      </c>
      <c r="G68" s="3">
        <f t="shared" ca="1" si="19"/>
        <v>82</v>
      </c>
      <c r="H68" s="13">
        <f t="shared" si="20"/>
        <v>197.33333333333334</v>
      </c>
      <c r="I68" s="13">
        <f t="shared" ca="1" si="21"/>
        <v>407</v>
      </c>
      <c r="J68" s="9">
        <v>1.5</v>
      </c>
      <c r="K68" s="3">
        <v>580</v>
      </c>
      <c r="L68" s="97">
        <f t="shared" ca="1" si="22"/>
        <v>407</v>
      </c>
      <c r="M68" s="64">
        <v>60</v>
      </c>
      <c r="N68" s="8">
        <f>E68+M68</f>
        <v>46118</v>
      </c>
      <c r="O68" s="13">
        <v>393</v>
      </c>
      <c r="P68" s="22">
        <f>(O68-F68)/(N68-E68)</f>
        <v>1.8166666666666667</v>
      </c>
      <c r="Q68" s="3">
        <v>120</v>
      </c>
      <c r="R68" s="8">
        <f>E68+Q68</f>
        <v>46178</v>
      </c>
      <c r="S68" s="13"/>
      <c r="T68" s="31"/>
      <c r="U68" s="33">
        <f t="shared" si="23"/>
        <v>57.333333333333336</v>
      </c>
      <c r="V68" s="8">
        <f t="shared" si="27"/>
        <v>46115.333333333336</v>
      </c>
      <c r="W68" s="8">
        <f t="shared" si="24"/>
        <v>46129.333333333336</v>
      </c>
      <c r="X68" s="13">
        <f t="shared" si="25"/>
        <v>105</v>
      </c>
      <c r="Y68" s="8">
        <f t="shared" si="28"/>
        <v>46220.333333333336</v>
      </c>
      <c r="Z68" s="28">
        <v>35</v>
      </c>
      <c r="AA68" s="29">
        <f t="shared" si="29"/>
        <v>46255.333333333336</v>
      </c>
      <c r="AB68" s="28">
        <f t="shared" si="26"/>
        <v>34</v>
      </c>
    </row>
    <row r="69" spans="1:28" ht="22.15" customHeight="1" x14ac:dyDescent="0.25">
      <c r="A69" s="9">
        <v>81</v>
      </c>
      <c r="B69" s="86" t="s">
        <v>389</v>
      </c>
      <c r="C69" s="3" t="s">
        <v>6</v>
      </c>
      <c r="D69" s="28">
        <f>11+19+3</f>
        <v>33</v>
      </c>
      <c r="E69" s="29">
        <v>46083</v>
      </c>
      <c r="F69" s="92">
        <v>373</v>
      </c>
      <c r="G69" s="3">
        <f t="shared" ca="1" si="19"/>
        <v>57</v>
      </c>
      <c r="H69" s="13">
        <f t="shared" si="20"/>
        <v>115</v>
      </c>
      <c r="I69" s="13">
        <f t="shared" ca="1" si="21"/>
        <v>475.6</v>
      </c>
      <c r="J69" s="9">
        <v>1.8</v>
      </c>
      <c r="K69" s="3">
        <v>580</v>
      </c>
      <c r="L69" s="97">
        <f t="shared" ca="1" si="22"/>
        <v>475.6</v>
      </c>
      <c r="M69" s="115" t="s">
        <v>178</v>
      </c>
      <c r="N69" s="116"/>
      <c r="O69" s="13"/>
      <c r="P69" s="22"/>
      <c r="Q69" s="3"/>
      <c r="R69" s="8"/>
      <c r="S69" s="13"/>
      <c r="T69" s="31"/>
      <c r="U69" s="33">
        <f t="shared" si="23"/>
        <v>-1.6666666666666665</v>
      </c>
      <c r="V69" s="8">
        <v>46105</v>
      </c>
      <c r="W69" s="8">
        <f t="shared" si="24"/>
        <v>46119</v>
      </c>
      <c r="X69" s="13">
        <f t="shared" si="25"/>
        <v>58</v>
      </c>
      <c r="Y69" s="8">
        <f t="shared" si="28"/>
        <v>46163</v>
      </c>
      <c r="Z69" s="28">
        <v>35</v>
      </c>
      <c r="AA69" s="29">
        <f t="shared" si="29"/>
        <v>46198</v>
      </c>
      <c r="AB69" s="28">
        <f t="shared" si="26"/>
        <v>26</v>
      </c>
    </row>
    <row r="70" spans="1:28" ht="22.15" customHeight="1" x14ac:dyDescent="0.25">
      <c r="A70" s="9">
        <v>82</v>
      </c>
      <c r="B70" s="86" t="s">
        <v>331</v>
      </c>
      <c r="C70" s="3" t="s">
        <v>6</v>
      </c>
      <c r="D70" s="28">
        <f>20+45</f>
        <v>65</v>
      </c>
      <c r="E70" s="29">
        <v>46042</v>
      </c>
      <c r="F70" s="3">
        <v>282</v>
      </c>
      <c r="G70" s="13">
        <f t="shared" ca="1" si="19"/>
        <v>98</v>
      </c>
      <c r="H70" s="13">
        <f t="shared" si="20"/>
        <v>198.66666666666666</v>
      </c>
      <c r="I70" s="13">
        <f t="shared" ca="1" si="21"/>
        <v>429</v>
      </c>
      <c r="J70" s="9">
        <v>1.5</v>
      </c>
      <c r="K70" s="3">
        <v>580</v>
      </c>
      <c r="L70" s="97">
        <f t="shared" ca="1" si="22"/>
        <v>429</v>
      </c>
      <c r="M70" s="64">
        <v>60</v>
      </c>
      <c r="N70" s="8">
        <v>46099</v>
      </c>
      <c r="O70" s="13">
        <v>379</v>
      </c>
      <c r="P70" s="22">
        <f>(O70-F70)/(N70-E70)</f>
        <v>1.7017543859649122</v>
      </c>
      <c r="Q70" s="3">
        <v>120</v>
      </c>
      <c r="R70" s="8">
        <f>E70+Q70</f>
        <v>46162</v>
      </c>
      <c r="S70" s="13"/>
      <c r="T70" s="31"/>
      <c r="U70" s="33">
        <f t="shared" si="23"/>
        <v>58.666666666666664</v>
      </c>
      <c r="V70" s="8">
        <f>E70+U70</f>
        <v>46100.666666666664</v>
      </c>
      <c r="W70" s="8">
        <f t="shared" si="24"/>
        <v>46114.666666666664</v>
      </c>
      <c r="X70" s="13">
        <f t="shared" si="25"/>
        <v>105</v>
      </c>
      <c r="Y70" s="8">
        <f t="shared" si="28"/>
        <v>46205.666666666664</v>
      </c>
      <c r="Z70" s="28">
        <v>35</v>
      </c>
      <c r="AA70" s="29">
        <f t="shared" si="29"/>
        <v>46240.666666666664</v>
      </c>
      <c r="AB70" s="28">
        <f t="shared" si="26"/>
        <v>32</v>
      </c>
    </row>
    <row r="71" spans="1:28" ht="21.75" customHeight="1" x14ac:dyDescent="0.25">
      <c r="A71" s="9">
        <v>83</v>
      </c>
      <c r="B71" s="91" t="s">
        <v>293</v>
      </c>
      <c r="C71" s="3" t="s">
        <v>6</v>
      </c>
      <c r="D71" s="28">
        <f>12+3</f>
        <v>15</v>
      </c>
      <c r="E71" s="29">
        <v>45936</v>
      </c>
      <c r="F71" s="3">
        <v>219</v>
      </c>
      <c r="G71" s="3">
        <f t="shared" ca="1" si="19"/>
        <v>204</v>
      </c>
      <c r="H71" s="13">
        <f t="shared" si="20"/>
        <v>257.85714285714289</v>
      </c>
      <c r="I71" s="13">
        <f t="shared" ca="1" si="21"/>
        <v>504.59999999999997</v>
      </c>
      <c r="J71" s="9">
        <v>1.4</v>
      </c>
      <c r="K71" s="3">
        <v>580</v>
      </c>
      <c r="L71" s="97">
        <f t="shared" ca="1" si="22"/>
        <v>504.59999999999997</v>
      </c>
      <c r="M71" s="64">
        <v>60</v>
      </c>
      <c r="N71" s="8">
        <f>E71+M71</f>
        <v>45996</v>
      </c>
      <c r="O71" s="13"/>
      <c r="P71" s="22"/>
      <c r="Q71" s="3">
        <v>120</v>
      </c>
      <c r="R71" s="8">
        <f>E71+Q71</f>
        <v>46056</v>
      </c>
      <c r="S71" s="13"/>
      <c r="T71" s="31"/>
      <c r="U71" s="33">
        <f t="shared" si="23"/>
        <v>107.85714285714286</v>
      </c>
      <c r="V71" s="8">
        <v>46031</v>
      </c>
      <c r="W71" s="8">
        <f t="shared" si="24"/>
        <v>46045</v>
      </c>
      <c r="X71" s="13">
        <f t="shared" si="25"/>
        <v>127.85714285714494</v>
      </c>
      <c r="Y71" s="8">
        <f t="shared" si="28"/>
        <v>46158.857142857145</v>
      </c>
      <c r="Z71" s="28">
        <v>35</v>
      </c>
      <c r="AA71" s="29">
        <f t="shared" si="29"/>
        <v>46193.857142857145</v>
      </c>
      <c r="AB71" s="28">
        <f t="shared" si="26"/>
        <v>25</v>
      </c>
    </row>
    <row r="72" spans="1:28" ht="21.75" customHeight="1" x14ac:dyDescent="0.25">
      <c r="A72" s="9">
        <v>84</v>
      </c>
      <c r="B72" s="86" t="s">
        <v>316</v>
      </c>
      <c r="C72" s="3" t="s">
        <v>16</v>
      </c>
      <c r="D72" s="28">
        <f>62+2+1</f>
        <v>65</v>
      </c>
      <c r="E72" s="29">
        <v>46038</v>
      </c>
      <c r="F72" s="3">
        <v>315</v>
      </c>
      <c r="G72" s="13">
        <f t="shared" ca="1" si="19"/>
        <v>102</v>
      </c>
      <c r="H72" s="13">
        <f t="shared" si="20"/>
        <v>160.71428571428572</v>
      </c>
      <c r="I72" s="13">
        <f t="shared" ca="1" si="21"/>
        <v>457.79999999999995</v>
      </c>
      <c r="J72" s="9">
        <v>1.4</v>
      </c>
      <c r="K72" s="3">
        <v>540</v>
      </c>
      <c r="L72" s="97">
        <f t="shared" ca="1" si="22"/>
        <v>457.79999999999995</v>
      </c>
      <c r="M72" s="64">
        <v>60</v>
      </c>
      <c r="N72" s="8">
        <f>E72+M72</f>
        <v>46098</v>
      </c>
      <c r="O72" s="13"/>
      <c r="P72" s="22"/>
      <c r="Q72" s="3"/>
      <c r="R72" s="8"/>
      <c r="S72" s="13"/>
      <c r="T72" s="31"/>
      <c r="U72" s="33">
        <v>30</v>
      </c>
      <c r="V72" s="8">
        <f t="shared" ref="V72:V82" si="30">E72+U72</f>
        <v>46068</v>
      </c>
      <c r="W72" s="8">
        <f t="shared" si="24"/>
        <v>46082</v>
      </c>
      <c r="X72" s="13">
        <f t="shared" si="25"/>
        <v>95.714285714282596</v>
      </c>
      <c r="Y72" s="8">
        <f t="shared" si="28"/>
        <v>46163.714285714283</v>
      </c>
      <c r="Z72" s="28">
        <v>35</v>
      </c>
      <c r="AA72" s="29">
        <f t="shared" si="29"/>
        <v>46198.714285714283</v>
      </c>
      <c r="AB72" s="28">
        <f t="shared" si="26"/>
        <v>26</v>
      </c>
    </row>
    <row r="73" spans="1:28" ht="22.15" customHeight="1" x14ac:dyDescent="0.25">
      <c r="A73" s="9">
        <v>85</v>
      </c>
      <c r="B73" s="86" t="s">
        <v>312</v>
      </c>
      <c r="C73" s="3" t="s">
        <v>16</v>
      </c>
      <c r="D73" s="28">
        <f>36+29</f>
        <v>65</v>
      </c>
      <c r="E73" s="29">
        <v>46036</v>
      </c>
      <c r="F73" s="3">
        <v>320</v>
      </c>
      <c r="G73" s="13">
        <f t="shared" ca="1" si="19"/>
        <v>104</v>
      </c>
      <c r="H73" s="13">
        <f t="shared" si="20"/>
        <v>157.14285714285714</v>
      </c>
      <c r="I73" s="13">
        <f t="shared" ca="1" si="21"/>
        <v>465.6</v>
      </c>
      <c r="J73" s="9">
        <v>1.4</v>
      </c>
      <c r="K73" s="3">
        <v>540</v>
      </c>
      <c r="L73" s="97">
        <f t="shared" ca="1" si="22"/>
        <v>465.6</v>
      </c>
      <c r="M73" s="64">
        <v>60</v>
      </c>
      <c r="N73" s="8">
        <v>46090</v>
      </c>
      <c r="O73" s="13">
        <v>401</v>
      </c>
      <c r="P73" s="22">
        <f>(O73-F73)/(N73-E73)</f>
        <v>1.5</v>
      </c>
      <c r="Q73" s="3"/>
      <c r="R73" s="8"/>
      <c r="S73" s="13"/>
      <c r="T73" s="31"/>
      <c r="U73" s="33">
        <v>30</v>
      </c>
      <c r="V73" s="8">
        <f t="shared" si="30"/>
        <v>46066</v>
      </c>
      <c r="W73" s="8">
        <f t="shared" si="24"/>
        <v>46080</v>
      </c>
      <c r="X73" s="13">
        <f t="shared" si="25"/>
        <v>92.142857142855064</v>
      </c>
      <c r="Y73" s="8">
        <f t="shared" si="28"/>
        <v>46158.142857142855</v>
      </c>
      <c r="Z73" s="28">
        <v>35</v>
      </c>
      <c r="AA73" s="29">
        <f t="shared" si="29"/>
        <v>46193.142857142855</v>
      </c>
      <c r="AB73" s="28">
        <f t="shared" si="26"/>
        <v>25</v>
      </c>
    </row>
    <row r="74" spans="1:28" ht="22.15" customHeight="1" x14ac:dyDescent="0.25">
      <c r="A74" s="9">
        <v>86</v>
      </c>
      <c r="B74" s="86" t="s">
        <v>313</v>
      </c>
      <c r="C74" s="3" t="s">
        <v>16</v>
      </c>
      <c r="D74" s="28">
        <f>12+26+27</f>
        <v>65</v>
      </c>
      <c r="E74" s="29">
        <v>46037</v>
      </c>
      <c r="F74" s="3">
        <v>196</v>
      </c>
      <c r="G74" s="13">
        <f t="shared" ca="1" si="19"/>
        <v>103</v>
      </c>
      <c r="H74" s="13">
        <f t="shared" si="20"/>
        <v>264.61538461538458</v>
      </c>
      <c r="I74" s="13">
        <f t="shared" ca="1" si="21"/>
        <v>329.9</v>
      </c>
      <c r="J74" s="9">
        <v>1.3</v>
      </c>
      <c r="K74" s="3">
        <v>540</v>
      </c>
      <c r="L74" s="97">
        <f t="shared" ca="1" si="22"/>
        <v>329.9</v>
      </c>
      <c r="M74" s="64">
        <v>60</v>
      </c>
      <c r="N74" s="8">
        <v>46100</v>
      </c>
      <c r="O74" s="13">
        <v>298</v>
      </c>
      <c r="P74" s="22">
        <f>(O74-F74)/(N74-E74)</f>
        <v>1.6190476190476191</v>
      </c>
      <c r="Q74" s="3">
        <v>120</v>
      </c>
      <c r="R74" s="8">
        <f>E74+Q74</f>
        <v>46157</v>
      </c>
      <c r="S74" s="13"/>
      <c r="T74" s="31"/>
      <c r="U74" s="33">
        <v>60</v>
      </c>
      <c r="V74" s="8">
        <f t="shared" si="30"/>
        <v>46097</v>
      </c>
      <c r="W74" s="8">
        <f t="shared" si="24"/>
        <v>46111</v>
      </c>
      <c r="X74" s="13">
        <f t="shared" si="25"/>
        <v>169.61538461538294</v>
      </c>
      <c r="Y74" s="8">
        <f t="shared" si="28"/>
        <v>46266.615384615383</v>
      </c>
      <c r="Z74" s="28">
        <v>35</v>
      </c>
      <c r="AA74" s="29">
        <f t="shared" si="29"/>
        <v>46301.615384615383</v>
      </c>
      <c r="AB74" s="28">
        <f t="shared" si="26"/>
        <v>41</v>
      </c>
    </row>
    <row r="75" spans="1:28" ht="22.15" customHeight="1" x14ac:dyDescent="0.25">
      <c r="A75" s="9">
        <v>87</v>
      </c>
      <c r="B75" s="86" t="s">
        <v>314</v>
      </c>
      <c r="C75" s="3" t="s">
        <v>16</v>
      </c>
      <c r="D75" s="28">
        <f>19+45+1</f>
        <v>65</v>
      </c>
      <c r="E75" s="29">
        <v>46037</v>
      </c>
      <c r="F75" s="3">
        <v>247</v>
      </c>
      <c r="G75" s="13">
        <f t="shared" ca="1" si="19"/>
        <v>103</v>
      </c>
      <c r="H75" s="13">
        <f t="shared" si="20"/>
        <v>217.03703703703701</v>
      </c>
      <c r="I75" s="13">
        <f t="shared" ca="1" si="21"/>
        <v>386.05</v>
      </c>
      <c r="J75" s="9">
        <v>1.35</v>
      </c>
      <c r="K75" s="3">
        <v>540</v>
      </c>
      <c r="L75" s="97">
        <f t="shared" ca="1" si="22"/>
        <v>386.05</v>
      </c>
      <c r="M75" s="64">
        <v>60</v>
      </c>
      <c r="N75" s="8">
        <f>E75+M75</f>
        <v>46097</v>
      </c>
      <c r="O75" s="13">
        <v>357</v>
      </c>
      <c r="P75" s="22">
        <f>(O75-F75)/(N75-E75)</f>
        <v>1.8333333333333333</v>
      </c>
      <c r="Q75" s="3">
        <v>120</v>
      </c>
      <c r="R75" s="8">
        <f>E75+Q75</f>
        <v>46157</v>
      </c>
      <c r="S75" s="13"/>
      <c r="T75" s="31"/>
      <c r="U75" s="33">
        <v>40</v>
      </c>
      <c r="V75" s="8">
        <f t="shared" si="30"/>
        <v>46077</v>
      </c>
      <c r="W75" s="8">
        <f t="shared" si="24"/>
        <v>46091</v>
      </c>
      <c r="X75" s="13">
        <f t="shared" si="25"/>
        <v>142.0370370370365</v>
      </c>
      <c r="Y75" s="8">
        <f t="shared" si="28"/>
        <v>46219.037037037036</v>
      </c>
      <c r="Z75" s="28">
        <v>35</v>
      </c>
      <c r="AA75" s="29">
        <f t="shared" si="29"/>
        <v>46254.037037037036</v>
      </c>
      <c r="AB75" s="28">
        <f t="shared" si="26"/>
        <v>34</v>
      </c>
    </row>
    <row r="76" spans="1:28" ht="22.5" customHeight="1" x14ac:dyDescent="0.25">
      <c r="A76" s="9">
        <v>88</v>
      </c>
      <c r="B76" s="86" t="s">
        <v>315</v>
      </c>
      <c r="C76" s="3" t="s">
        <v>16</v>
      </c>
      <c r="D76" s="28">
        <f>57+8</f>
        <v>65</v>
      </c>
      <c r="E76" s="29">
        <v>46037</v>
      </c>
      <c r="F76" s="3">
        <v>321</v>
      </c>
      <c r="G76" s="13">
        <f t="shared" ca="1" si="19"/>
        <v>103</v>
      </c>
      <c r="H76" s="13">
        <f t="shared" si="20"/>
        <v>146</v>
      </c>
      <c r="I76" s="13">
        <f t="shared" ca="1" si="21"/>
        <v>475.5</v>
      </c>
      <c r="J76" s="9">
        <v>1.5</v>
      </c>
      <c r="K76" s="3">
        <v>540</v>
      </c>
      <c r="L76" s="97">
        <f t="shared" ca="1" si="22"/>
        <v>475.5</v>
      </c>
      <c r="M76" s="64">
        <v>60</v>
      </c>
      <c r="N76" s="8">
        <f>E76+M76</f>
        <v>46097</v>
      </c>
      <c r="O76" s="13"/>
      <c r="P76" s="22"/>
      <c r="Q76" s="3"/>
      <c r="R76" s="8"/>
      <c r="S76" s="13"/>
      <c r="T76" s="31"/>
      <c r="U76" s="33">
        <v>30</v>
      </c>
      <c r="V76" s="8">
        <f t="shared" si="30"/>
        <v>46067</v>
      </c>
      <c r="W76" s="8">
        <f t="shared" si="24"/>
        <v>46081</v>
      </c>
      <c r="X76" s="13">
        <f t="shared" si="25"/>
        <v>81</v>
      </c>
      <c r="Y76" s="8">
        <f t="shared" si="28"/>
        <v>46148</v>
      </c>
      <c r="Z76" s="28">
        <v>35</v>
      </c>
      <c r="AA76" s="29">
        <f t="shared" si="29"/>
        <v>46183</v>
      </c>
      <c r="AB76" s="28">
        <f t="shared" si="26"/>
        <v>24</v>
      </c>
    </row>
    <row r="77" spans="1:28" ht="22.15" customHeight="1" x14ac:dyDescent="0.25">
      <c r="A77" s="9">
        <v>89</v>
      </c>
      <c r="B77" s="86" t="s">
        <v>272</v>
      </c>
      <c r="C77" s="3" t="s">
        <v>16</v>
      </c>
      <c r="D77" s="28">
        <f>1+4+5+7+21+3+4+3+6+11</f>
        <v>65</v>
      </c>
      <c r="E77" s="29">
        <v>46021</v>
      </c>
      <c r="F77" s="3">
        <v>264</v>
      </c>
      <c r="G77" s="13">
        <f t="shared" ca="1" si="19"/>
        <v>119</v>
      </c>
      <c r="H77" s="13">
        <f t="shared" si="20"/>
        <v>204.44444444444443</v>
      </c>
      <c r="I77" s="13">
        <f t="shared" ca="1" si="21"/>
        <v>424.65</v>
      </c>
      <c r="J77" s="9">
        <v>1.35</v>
      </c>
      <c r="K77" s="3">
        <v>540</v>
      </c>
      <c r="L77" s="97">
        <f t="shared" ca="1" si="22"/>
        <v>424.65</v>
      </c>
      <c r="M77" s="64">
        <v>60</v>
      </c>
      <c r="N77" s="8">
        <f>E77+M77</f>
        <v>46081</v>
      </c>
      <c r="O77" s="13"/>
      <c r="P77" s="22"/>
      <c r="Q77" s="3">
        <v>120</v>
      </c>
      <c r="R77" s="8">
        <f>E77+Q77</f>
        <v>46141</v>
      </c>
      <c r="S77" s="13"/>
      <c r="T77" s="31"/>
      <c r="U77" s="33">
        <f>(((320-F77)/J77))</f>
        <v>41.481481481481481</v>
      </c>
      <c r="V77" s="8">
        <f t="shared" si="30"/>
        <v>46062.481481481482</v>
      </c>
      <c r="W77" s="8">
        <f t="shared" si="24"/>
        <v>46076.481481481482</v>
      </c>
      <c r="X77" s="13">
        <f t="shared" si="25"/>
        <v>127.9629629629635</v>
      </c>
      <c r="Y77" s="8">
        <f t="shared" si="28"/>
        <v>46190.444444444445</v>
      </c>
      <c r="Z77" s="28">
        <v>35</v>
      </c>
      <c r="AA77" s="29">
        <f t="shared" si="29"/>
        <v>46225.444444444445</v>
      </c>
      <c r="AB77" s="28">
        <f t="shared" si="26"/>
        <v>30</v>
      </c>
    </row>
    <row r="78" spans="1:28" ht="22.15" customHeight="1" x14ac:dyDescent="0.25">
      <c r="A78" s="9">
        <v>90</v>
      </c>
      <c r="B78" s="86" t="s">
        <v>324</v>
      </c>
      <c r="C78" s="3" t="s">
        <v>16</v>
      </c>
      <c r="D78" s="28">
        <v>23</v>
      </c>
      <c r="E78" s="29">
        <v>46038</v>
      </c>
      <c r="F78" s="3">
        <v>249</v>
      </c>
      <c r="G78" s="13">
        <f t="shared" ca="1" si="19"/>
        <v>102</v>
      </c>
      <c r="H78" s="13">
        <f t="shared" si="20"/>
        <v>215.55555555555554</v>
      </c>
      <c r="I78" s="13">
        <f t="shared" ca="1" si="21"/>
        <v>386.70000000000005</v>
      </c>
      <c r="J78" s="9">
        <v>1.35</v>
      </c>
      <c r="K78" s="3">
        <v>540</v>
      </c>
      <c r="L78" s="97">
        <f t="shared" ca="1" si="22"/>
        <v>386.70000000000005</v>
      </c>
      <c r="M78" s="64">
        <v>60</v>
      </c>
      <c r="N78" s="8">
        <v>46106</v>
      </c>
      <c r="O78" s="13">
        <v>358</v>
      </c>
      <c r="P78" s="22">
        <f>(O78-F78)/(N78-E78)</f>
        <v>1.6029411764705883</v>
      </c>
      <c r="Q78" s="3">
        <v>120</v>
      </c>
      <c r="R78" s="8">
        <f>E78+Q78</f>
        <v>46158</v>
      </c>
      <c r="S78" s="13"/>
      <c r="T78" s="31"/>
      <c r="U78" s="33">
        <f>(((320-F78)/J78))</f>
        <v>52.592592592592588</v>
      </c>
      <c r="V78" s="8">
        <f t="shared" si="30"/>
        <v>46090.592592592591</v>
      </c>
      <c r="W78" s="8">
        <f t="shared" si="24"/>
        <v>46104.592592592591</v>
      </c>
      <c r="X78" s="13">
        <f t="shared" si="25"/>
        <v>127.9629629629635</v>
      </c>
      <c r="Y78" s="8">
        <f t="shared" si="28"/>
        <v>46218.555555555555</v>
      </c>
      <c r="Z78" s="28">
        <v>35</v>
      </c>
      <c r="AA78" s="29">
        <f t="shared" si="29"/>
        <v>46253.555555555555</v>
      </c>
      <c r="AB78" s="28">
        <f t="shared" si="26"/>
        <v>34</v>
      </c>
    </row>
    <row r="79" spans="1:28" ht="22.15" customHeight="1" x14ac:dyDescent="0.25">
      <c r="A79" s="9">
        <v>91</v>
      </c>
      <c r="B79" s="3" t="s">
        <v>190</v>
      </c>
      <c r="C79" s="3" t="s">
        <v>16</v>
      </c>
      <c r="D79" s="28">
        <f>4+2+2+3+2+3+5+8+1+1+1+1+3+2+1+1+2+4+13+1-2</f>
        <v>58</v>
      </c>
      <c r="E79" s="29">
        <v>46030</v>
      </c>
      <c r="F79" s="3">
        <v>158</v>
      </c>
      <c r="G79" s="3">
        <f t="shared" ca="1" si="19"/>
        <v>110</v>
      </c>
      <c r="H79" s="13">
        <f t="shared" si="20"/>
        <v>293.84615384615381</v>
      </c>
      <c r="I79" s="13">
        <f t="shared" ca="1" si="21"/>
        <v>301</v>
      </c>
      <c r="J79" s="9">
        <v>1.3</v>
      </c>
      <c r="K79" s="3">
        <v>540</v>
      </c>
      <c r="L79" s="97">
        <f t="shared" ca="1" si="22"/>
        <v>301</v>
      </c>
      <c r="M79" s="64">
        <v>60</v>
      </c>
      <c r="N79" s="8">
        <v>46091</v>
      </c>
      <c r="O79" s="13">
        <v>290</v>
      </c>
      <c r="P79" s="22">
        <f>(O79-F79)/(N79-E79)</f>
        <v>2.1639344262295084</v>
      </c>
      <c r="Q79" s="3">
        <v>120</v>
      </c>
      <c r="R79" s="8">
        <f>E79+Q79</f>
        <v>46150</v>
      </c>
      <c r="S79" s="13"/>
      <c r="T79" s="31"/>
      <c r="U79" s="33">
        <f>(((320-F79)/J79))</f>
        <v>124.61538461538461</v>
      </c>
      <c r="V79" s="8">
        <f t="shared" si="30"/>
        <v>46154.615384615383</v>
      </c>
      <c r="W79" s="8">
        <f t="shared" si="24"/>
        <v>46168.615384615383</v>
      </c>
      <c r="X79" s="13">
        <f t="shared" si="25"/>
        <v>134.23076923077315</v>
      </c>
      <c r="Y79" s="8">
        <f t="shared" si="28"/>
        <v>46288.846153846156</v>
      </c>
      <c r="Z79" s="28">
        <v>35</v>
      </c>
      <c r="AA79" s="29">
        <f t="shared" si="29"/>
        <v>46323.846153846156</v>
      </c>
      <c r="AB79" s="28">
        <f t="shared" si="26"/>
        <v>44</v>
      </c>
    </row>
    <row r="80" spans="1:28" ht="22.15" customHeight="1" x14ac:dyDescent="0.25">
      <c r="A80" s="9">
        <v>92</v>
      </c>
      <c r="B80" s="86" t="s">
        <v>323</v>
      </c>
      <c r="C80" s="3" t="s">
        <v>6</v>
      </c>
      <c r="D80" s="28">
        <v>44</v>
      </c>
      <c r="E80" s="29">
        <v>46028</v>
      </c>
      <c r="F80" s="3">
        <v>174</v>
      </c>
      <c r="G80" s="13">
        <f t="shared" ca="1" si="19"/>
        <v>112</v>
      </c>
      <c r="H80" s="13">
        <f t="shared" si="20"/>
        <v>312.30769230769232</v>
      </c>
      <c r="I80" s="13">
        <f t="shared" ca="1" si="21"/>
        <v>319.60000000000002</v>
      </c>
      <c r="J80" s="9">
        <v>1.3</v>
      </c>
      <c r="K80" s="3">
        <v>580</v>
      </c>
      <c r="L80" s="97">
        <f t="shared" ca="1" si="22"/>
        <v>319.60000000000002</v>
      </c>
      <c r="M80" s="64">
        <v>60</v>
      </c>
      <c r="N80" s="8">
        <f>E80+M80</f>
        <v>46088</v>
      </c>
      <c r="O80" s="13"/>
      <c r="P80" s="22"/>
      <c r="Q80" s="3">
        <v>120</v>
      </c>
      <c r="R80" s="8">
        <f>E80+Q80</f>
        <v>46148</v>
      </c>
      <c r="S80" s="13"/>
      <c r="T80" s="31"/>
      <c r="U80" s="33">
        <f>(((370-F80)/J80))</f>
        <v>150.76923076923077</v>
      </c>
      <c r="V80" s="8">
        <f t="shared" si="30"/>
        <v>46178.769230769234</v>
      </c>
      <c r="W80" s="8">
        <f t="shared" si="24"/>
        <v>46192.769230769234</v>
      </c>
      <c r="X80" s="13">
        <f t="shared" si="25"/>
        <v>126.53846153846098</v>
      </c>
      <c r="Y80" s="8">
        <f t="shared" si="28"/>
        <v>46305.307692307695</v>
      </c>
      <c r="Z80" s="28">
        <v>35</v>
      </c>
      <c r="AA80" s="29">
        <f t="shared" si="29"/>
        <v>46340.307692307695</v>
      </c>
      <c r="AB80" s="28">
        <f t="shared" si="26"/>
        <v>46</v>
      </c>
    </row>
    <row r="81" spans="1:31" ht="22.5" customHeight="1" x14ac:dyDescent="0.25">
      <c r="A81" s="9">
        <v>93</v>
      </c>
      <c r="B81" s="3" t="s">
        <v>191</v>
      </c>
      <c r="C81" s="3" t="s">
        <v>16</v>
      </c>
      <c r="D81" s="28">
        <f>6+5+1+5+7+7+9+10+14+1</f>
        <v>65</v>
      </c>
      <c r="E81" s="29">
        <v>45965</v>
      </c>
      <c r="F81" s="3">
        <v>207</v>
      </c>
      <c r="G81" s="13">
        <f t="shared" ca="1" si="19"/>
        <v>175</v>
      </c>
      <c r="H81" s="13">
        <f t="shared" si="20"/>
        <v>256.15384615384613</v>
      </c>
      <c r="I81" s="13">
        <f t="shared" ca="1" si="21"/>
        <v>434.5</v>
      </c>
      <c r="J81" s="9">
        <v>1.3</v>
      </c>
      <c r="K81" s="3">
        <v>540</v>
      </c>
      <c r="L81" s="97">
        <f t="shared" ca="1" si="22"/>
        <v>434.5</v>
      </c>
      <c r="M81" s="64">
        <v>60</v>
      </c>
      <c r="N81" s="8">
        <f>E81+M81</f>
        <v>46025</v>
      </c>
      <c r="O81" s="13"/>
      <c r="P81" s="22"/>
      <c r="Q81" s="3">
        <v>120</v>
      </c>
      <c r="R81" s="8">
        <f>E81+Q81</f>
        <v>46085</v>
      </c>
      <c r="S81" s="13"/>
      <c r="T81" s="31"/>
      <c r="U81" s="33">
        <f t="shared" ref="U81:U86" si="31">(((320-F81)/J81))</f>
        <v>86.92307692307692</v>
      </c>
      <c r="V81" s="8">
        <f t="shared" si="30"/>
        <v>46051.923076923078</v>
      </c>
      <c r="W81" s="8">
        <f t="shared" si="24"/>
        <v>46065.923076923078</v>
      </c>
      <c r="X81" s="13">
        <f t="shared" si="25"/>
        <v>134.23076923076587</v>
      </c>
      <c r="Y81" s="8">
        <f t="shared" si="28"/>
        <v>46186.153846153844</v>
      </c>
      <c r="Z81" s="28">
        <v>35</v>
      </c>
      <c r="AA81" s="29">
        <f t="shared" si="29"/>
        <v>46221.153846153844</v>
      </c>
      <c r="AB81" s="28">
        <f t="shared" si="26"/>
        <v>29</v>
      </c>
      <c r="AE81" s="2"/>
    </row>
    <row r="82" spans="1:31" ht="22.15" customHeight="1" x14ac:dyDescent="0.25">
      <c r="A82" s="9">
        <v>94</v>
      </c>
      <c r="B82" s="86" t="s">
        <v>233</v>
      </c>
      <c r="C82" s="3" t="s">
        <v>16</v>
      </c>
      <c r="D82" s="28">
        <f>5+20+4+4+1+4+4+4+1+12+5</f>
        <v>64</v>
      </c>
      <c r="E82" s="29">
        <v>46007</v>
      </c>
      <c r="F82" s="3">
        <v>205</v>
      </c>
      <c r="G82" s="13">
        <f t="shared" ca="1" si="19"/>
        <v>133</v>
      </c>
      <c r="H82" s="13">
        <f t="shared" si="20"/>
        <v>257.69230769230768</v>
      </c>
      <c r="I82" s="13">
        <f t="shared" ca="1" si="21"/>
        <v>377.9</v>
      </c>
      <c r="J82" s="9">
        <v>1.3</v>
      </c>
      <c r="K82" s="3">
        <v>540</v>
      </c>
      <c r="L82" s="97">
        <f t="shared" ca="1" si="22"/>
        <v>377.9</v>
      </c>
      <c r="M82" s="115" t="s">
        <v>178</v>
      </c>
      <c r="N82" s="116"/>
      <c r="O82" s="13"/>
      <c r="P82" s="22"/>
      <c r="Q82" s="3"/>
      <c r="R82" s="8"/>
      <c r="S82" s="13"/>
      <c r="T82" s="31"/>
      <c r="U82" s="33">
        <f t="shared" si="31"/>
        <v>88.461538461538453</v>
      </c>
      <c r="V82" s="8">
        <f t="shared" si="30"/>
        <v>46095.461538461539</v>
      </c>
      <c r="W82" s="8">
        <f t="shared" si="24"/>
        <v>46109.461538461539</v>
      </c>
      <c r="X82" s="13">
        <f t="shared" si="25"/>
        <v>134.23076923076587</v>
      </c>
      <c r="Y82" s="8">
        <f t="shared" si="28"/>
        <v>46229.692307692305</v>
      </c>
      <c r="Z82" s="28">
        <v>35</v>
      </c>
      <c r="AA82" s="29">
        <f t="shared" si="29"/>
        <v>46264.692307692305</v>
      </c>
      <c r="AB82" s="28">
        <f t="shared" si="26"/>
        <v>35</v>
      </c>
    </row>
    <row r="83" spans="1:31" ht="22.5" customHeight="1" x14ac:dyDescent="0.25">
      <c r="A83" s="9">
        <v>95</v>
      </c>
      <c r="B83" s="86" t="s">
        <v>215</v>
      </c>
      <c r="C83" s="3" t="s">
        <v>16</v>
      </c>
      <c r="D83" s="28">
        <f>23+27+11+6</f>
        <v>67</v>
      </c>
      <c r="E83" s="29">
        <v>45979</v>
      </c>
      <c r="F83" s="3">
        <v>259</v>
      </c>
      <c r="G83" s="13">
        <f t="shared" ca="1" si="19"/>
        <v>161</v>
      </c>
      <c r="H83" s="13">
        <f t="shared" si="20"/>
        <v>208.14814814814812</v>
      </c>
      <c r="I83" s="13">
        <f t="shared" ca="1" si="21"/>
        <v>476.35</v>
      </c>
      <c r="J83" s="9">
        <v>1.35</v>
      </c>
      <c r="K83" s="3">
        <v>540</v>
      </c>
      <c r="L83" s="97">
        <f t="shared" ca="1" si="22"/>
        <v>476.35</v>
      </c>
      <c r="M83" s="64">
        <v>60</v>
      </c>
      <c r="N83" s="8">
        <f>E83+M83</f>
        <v>46039</v>
      </c>
      <c r="O83" s="13">
        <v>381</v>
      </c>
      <c r="P83" s="22">
        <f>(O83-F83)/(N83-E83)</f>
        <v>2.0333333333333332</v>
      </c>
      <c r="Q83" s="3">
        <v>120</v>
      </c>
      <c r="R83" s="8">
        <v>46100</v>
      </c>
      <c r="S83" s="13">
        <v>454</v>
      </c>
      <c r="T83" s="22">
        <f>(S83-F83)/(R83-E83)</f>
        <v>1.6115702479338843</v>
      </c>
      <c r="U83" s="33">
        <f t="shared" si="31"/>
        <v>45.185185185185183</v>
      </c>
      <c r="V83" s="8">
        <v>46060</v>
      </c>
      <c r="W83" s="8">
        <f t="shared" si="24"/>
        <v>46074</v>
      </c>
      <c r="X83" s="13">
        <f t="shared" si="25"/>
        <v>92.148148148145992</v>
      </c>
      <c r="Y83" s="8">
        <f t="shared" si="28"/>
        <v>46152.148148148146</v>
      </c>
      <c r="Z83" s="28">
        <v>35</v>
      </c>
      <c r="AA83" s="29">
        <f t="shared" si="29"/>
        <v>46187.148148148146</v>
      </c>
      <c r="AB83" s="28">
        <f t="shared" si="26"/>
        <v>24</v>
      </c>
    </row>
    <row r="84" spans="1:31" ht="22.15" customHeight="1" x14ac:dyDescent="0.25">
      <c r="A84" s="9">
        <v>96</v>
      </c>
      <c r="B84" s="86" t="s">
        <v>239</v>
      </c>
      <c r="C84" s="3" t="s">
        <v>16</v>
      </c>
      <c r="D84" s="28">
        <f>16+5+12+6+4+3+7+10+2</f>
        <v>65</v>
      </c>
      <c r="E84" s="29">
        <v>45996</v>
      </c>
      <c r="F84" s="3">
        <v>260</v>
      </c>
      <c r="G84" s="13">
        <f t="shared" ca="1" si="19"/>
        <v>144</v>
      </c>
      <c r="H84" s="13">
        <f t="shared" si="20"/>
        <v>207.40740740740739</v>
      </c>
      <c r="I84" s="13">
        <f t="shared" ca="1" si="21"/>
        <v>454.4</v>
      </c>
      <c r="J84" s="9">
        <v>1.35</v>
      </c>
      <c r="K84" s="3">
        <v>540</v>
      </c>
      <c r="L84" s="97">
        <f t="shared" ca="1" si="22"/>
        <v>454.4</v>
      </c>
      <c r="M84" s="64">
        <v>60</v>
      </c>
      <c r="N84" s="8">
        <f>E84+M84</f>
        <v>46056</v>
      </c>
      <c r="O84" s="13">
        <v>364</v>
      </c>
      <c r="P84" s="22">
        <f>(O84-F84)/(N84-E84)</f>
        <v>1.7333333333333334</v>
      </c>
      <c r="Q84" s="3">
        <v>120</v>
      </c>
      <c r="R84" s="8">
        <v>46118</v>
      </c>
      <c r="S84" s="13">
        <v>399</v>
      </c>
      <c r="T84" s="22">
        <f>(S84-F84)/(R84-E84)</f>
        <v>1.139344262295082</v>
      </c>
      <c r="U84" s="33">
        <f t="shared" si="31"/>
        <v>44.444444444444443</v>
      </c>
      <c r="V84" s="8">
        <v>46031</v>
      </c>
      <c r="W84" s="8">
        <f t="shared" si="24"/>
        <v>46045</v>
      </c>
      <c r="X84" s="13">
        <f t="shared" si="25"/>
        <v>137.40740740740875</v>
      </c>
      <c r="Y84" s="8">
        <f t="shared" si="28"/>
        <v>46168.407407407409</v>
      </c>
      <c r="Z84" s="28">
        <v>35</v>
      </c>
      <c r="AA84" s="29">
        <f t="shared" si="29"/>
        <v>46203.407407407409</v>
      </c>
      <c r="AB84" s="28">
        <f t="shared" si="26"/>
        <v>27</v>
      </c>
    </row>
    <row r="85" spans="1:31" ht="22.15" customHeight="1" x14ac:dyDescent="0.25">
      <c r="A85" s="9">
        <v>97</v>
      </c>
      <c r="B85" s="86" t="s">
        <v>346</v>
      </c>
      <c r="C85" s="3" t="s">
        <v>16</v>
      </c>
      <c r="D85" s="28">
        <f>2+7+3+3+3+7+7+6+4+1+1+1+3+1</f>
        <v>49</v>
      </c>
      <c r="E85" s="29">
        <v>46087</v>
      </c>
      <c r="F85" s="3">
        <v>334</v>
      </c>
      <c r="G85" s="3">
        <f t="shared" ca="1" si="19"/>
        <v>53</v>
      </c>
      <c r="H85" s="13">
        <f t="shared" si="20"/>
        <v>142.06896551724139</v>
      </c>
      <c r="I85" s="13">
        <f t="shared" ca="1" si="21"/>
        <v>410.85</v>
      </c>
      <c r="J85" s="9">
        <v>1.45</v>
      </c>
      <c r="K85" s="3">
        <v>540</v>
      </c>
      <c r="L85" s="97">
        <f t="shared" ca="1" si="22"/>
        <v>410.85</v>
      </c>
      <c r="M85" s="64">
        <v>60</v>
      </c>
      <c r="N85" s="8">
        <f>E85+M85</f>
        <v>46147</v>
      </c>
      <c r="O85" s="13"/>
      <c r="P85" s="22"/>
      <c r="Q85" s="3">
        <v>120</v>
      </c>
      <c r="R85" s="8">
        <f>E85+Q85</f>
        <v>46207</v>
      </c>
      <c r="S85" s="13"/>
      <c r="T85" s="31"/>
      <c r="U85" s="33">
        <f t="shared" si="31"/>
        <v>-9.6551724137931032</v>
      </c>
      <c r="V85" s="8">
        <v>46092</v>
      </c>
      <c r="W85" s="8">
        <f t="shared" si="24"/>
        <v>46106</v>
      </c>
      <c r="X85" s="13">
        <f t="shared" si="25"/>
        <v>102.06896551723912</v>
      </c>
      <c r="Y85" s="8">
        <f t="shared" si="28"/>
        <v>46194.068965517239</v>
      </c>
      <c r="Z85" s="28">
        <v>35</v>
      </c>
      <c r="AA85" s="29">
        <f t="shared" si="29"/>
        <v>46229.068965517239</v>
      </c>
      <c r="AB85" s="28">
        <f t="shared" si="26"/>
        <v>30</v>
      </c>
    </row>
    <row r="86" spans="1:31" ht="22.15" customHeight="1" x14ac:dyDescent="0.25">
      <c r="A86" s="9">
        <v>98</v>
      </c>
      <c r="B86" s="86" t="s">
        <v>368</v>
      </c>
      <c r="C86" s="3" t="s">
        <v>16</v>
      </c>
      <c r="D86" s="28">
        <f>8+1+11+6+5+2+8+4+10+4+1+2</f>
        <v>62</v>
      </c>
      <c r="E86" s="29">
        <v>46095</v>
      </c>
      <c r="F86" s="3">
        <v>263</v>
      </c>
      <c r="G86" s="13">
        <f t="shared" ca="1" si="19"/>
        <v>45</v>
      </c>
      <c r="H86" s="13">
        <f t="shared" si="20"/>
        <v>205.18518518518516</v>
      </c>
      <c r="I86" s="13">
        <f t="shared" ca="1" si="21"/>
        <v>323.75</v>
      </c>
      <c r="J86" s="9">
        <v>1.35</v>
      </c>
      <c r="K86" s="3">
        <v>540</v>
      </c>
      <c r="L86" s="97">
        <f t="shared" ca="1" si="22"/>
        <v>323.75</v>
      </c>
      <c r="M86" s="64">
        <v>61</v>
      </c>
      <c r="N86" s="8">
        <f>E86+M86</f>
        <v>46156</v>
      </c>
      <c r="O86" s="93"/>
      <c r="P86" s="95"/>
      <c r="Q86" s="3">
        <v>121</v>
      </c>
      <c r="R86" s="8">
        <f>E86+Q86</f>
        <v>46216</v>
      </c>
      <c r="S86" s="93"/>
      <c r="T86" s="96"/>
      <c r="U86" s="33">
        <f t="shared" si="31"/>
        <v>42.222222222222221</v>
      </c>
      <c r="V86" s="8">
        <f>E86+U86</f>
        <v>46137.222222222219</v>
      </c>
      <c r="W86" s="8">
        <f t="shared" si="24"/>
        <v>46151.222222222219</v>
      </c>
      <c r="X86" s="13">
        <f t="shared" si="25"/>
        <v>127.9629629629635</v>
      </c>
      <c r="Y86" s="8">
        <f t="shared" si="28"/>
        <v>46265.185185185182</v>
      </c>
      <c r="Z86" s="28">
        <v>35</v>
      </c>
      <c r="AA86" s="29">
        <f t="shared" si="29"/>
        <v>46300.185185185182</v>
      </c>
      <c r="AB86" s="28">
        <f t="shared" si="26"/>
        <v>41</v>
      </c>
    </row>
    <row r="87" spans="1:31" ht="22.5" customHeight="1" x14ac:dyDescent="0.25">
      <c r="A87" s="9">
        <v>99</v>
      </c>
      <c r="B87" s="86" t="s">
        <v>287</v>
      </c>
      <c r="C87" s="3" t="s">
        <v>16</v>
      </c>
      <c r="D87" s="28">
        <v>63</v>
      </c>
      <c r="E87" s="29">
        <v>46044</v>
      </c>
      <c r="F87" s="3">
        <v>330</v>
      </c>
      <c r="G87" s="13">
        <v>83</v>
      </c>
      <c r="H87" s="13">
        <v>144.82758620689657</v>
      </c>
      <c r="I87" s="13">
        <v>450.35</v>
      </c>
      <c r="J87" s="9">
        <v>1.45</v>
      </c>
      <c r="K87" s="3">
        <v>540</v>
      </c>
      <c r="L87" s="97">
        <v>450.35</v>
      </c>
      <c r="M87" s="64">
        <v>60</v>
      </c>
      <c r="N87" s="8">
        <v>46106</v>
      </c>
      <c r="O87" s="13">
        <v>447</v>
      </c>
      <c r="P87" s="22">
        <v>1.8870967741935485</v>
      </c>
      <c r="Q87" s="3">
        <v>120</v>
      </c>
      <c r="R87" s="8">
        <v>46164</v>
      </c>
      <c r="S87" s="13"/>
      <c r="T87" s="31"/>
      <c r="U87" s="33">
        <v>-6.8965517241379315</v>
      </c>
      <c r="V87" s="8">
        <v>46060</v>
      </c>
      <c r="W87" s="8">
        <v>46074</v>
      </c>
      <c r="X87" s="13">
        <v>93.827586206898559</v>
      </c>
      <c r="Y87" s="8">
        <v>46153.827586206899</v>
      </c>
      <c r="Z87" s="28">
        <v>35</v>
      </c>
      <c r="AA87" s="29">
        <v>46188.827586206899</v>
      </c>
      <c r="AB87" s="28">
        <v>25</v>
      </c>
    </row>
    <row r="88" spans="1:31" ht="22.15" customHeight="1" x14ac:dyDescent="0.25">
      <c r="A88" s="9">
        <v>100</v>
      </c>
      <c r="B88" s="3"/>
      <c r="C88" s="3"/>
      <c r="D88" s="28"/>
      <c r="E88" s="29"/>
      <c r="F88" s="3"/>
      <c r="G88" s="13"/>
      <c r="H88" s="13"/>
      <c r="I88" s="13"/>
      <c r="J88" s="9"/>
      <c r="K88" s="13"/>
      <c r="L88" s="97"/>
      <c r="M88" s="64"/>
      <c r="N88" s="8"/>
      <c r="O88" s="13"/>
      <c r="P88" s="22"/>
      <c r="Q88" s="3"/>
      <c r="R88" s="8"/>
      <c r="S88" s="13"/>
      <c r="T88" s="31"/>
      <c r="U88" s="33"/>
      <c r="V88" s="8"/>
      <c r="W88" s="8"/>
      <c r="X88" s="13"/>
      <c r="Y88" s="8"/>
      <c r="Z88" s="28"/>
      <c r="AA88" s="29"/>
      <c r="AB88" s="53"/>
    </row>
    <row r="89" spans="1:31" ht="22.9" customHeight="1" x14ac:dyDescent="0.25">
      <c r="A89" s="9">
        <v>101</v>
      </c>
      <c r="B89" s="91" t="s">
        <v>415</v>
      </c>
      <c r="C89" s="3" t="s">
        <v>12</v>
      </c>
      <c r="D89" s="101">
        <f>4+18+13</f>
        <v>35</v>
      </c>
      <c r="E89" s="27">
        <v>46101</v>
      </c>
      <c r="F89" s="3">
        <v>391</v>
      </c>
      <c r="G89" s="13">
        <f t="shared" ref="G89:G96" ca="1" si="32">B$3-E89</f>
        <v>39</v>
      </c>
      <c r="H89" s="13">
        <v>90</v>
      </c>
      <c r="I89" s="13">
        <f t="shared" ref="I89:I96" ca="1" si="33">F89+(G89*J89)</f>
        <v>453.4</v>
      </c>
      <c r="J89" s="9">
        <v>1.6</v>
      </c>
      <c r="K89" s="13">
        <f t="shared" ref="K89:K96" si="34">(J89*H89)+F89</f>
        <v>535</v>
      </c>
      <c r="L89" s="97">
        <f t="shared" ref="L89:L96" ca="1" si="35">F89+(G89*J89)</f>
        <v>453.4</v>
      </c>
      <c r="M89" s="64"/>
      <c r="N89" s="8"/>
      <c r="O89" s="13"/>
      <c r="P89" s="22"/>
      <c r="Q89" s="3"/>
      <c r="R89" s="8"/>
      <c r="S89" s="13"/>
      <c r="T89" s="31"/>
      <c r="U89" s="33" t="s">
        <v>419</v>
      </c>
      <c r="V89" s="8">
        <v>46079</v>
      </c>
      <c r="W89" s="8">
        <f t="shared" ref="W89:W96" si="36">V89+$W$3</f>
        <v>46093</v>
      </c>
      <c r="X89" s="13">
        <f t="shared" ref="X89:X96" si="37">Y89-V89</f>
        <v>77</v>
      </c>
      <c r="Y89" s="8">
        <f t="shared" ref="Y89:Y94" si="38">AA89-Z89</f>
        <v>46156</v>
      </c>
      <c r="Z89" s="28">
        <v>35</v>
      </c>
      <c r="AA89" s="29">
        <f t="shared" ref="AA89:AA94" si="39">E89+H89</f>
        <v>46191</v>
      </c>
      <c r="AB89" s="28">
        <f t="shared" ref="AB89:AB96" si="40">_xlfn.ISOWEEKNUM(AA89)</f>
        <v>25</v>
      </c>
    </row>
    <row r="90" spans="1:31" ht="22.15" customHeight="1" x14ac:dyDescent="0.25">
      <c r="A90" s="9">
        <v>102</v>
      </c>
      <c r="B90" s="86" t="s">
        <v>416</v>
      </c>
      <c r="C90" s="3" t="s">
        <v>12</v>
      </c>
      <c r="D90" s="28">
        <f>21+8</f>
        <v>29</v>
      </c>
      <c r="E90" s="29">
        <v>46101</v>
      </c>
      <c r="F90" s="3">
        <v>451</v>
      </c>
      <c r="G90" s="13">
        <f t="shared" ca="1" si="32"/>
        <v>39</v>
      </c>
      <c r="H90" s="13">
        <v>90</v>
      </c>
      <c r="I90" s="13">
        <f t="shared" ca="1" si="33"/>
        <v>517.29999999999995</v>
      </c>
      <c r="J90" s="9">
        <v>1.7</v>
      </c>
      <c r="K90" s="13">
        <f t="shared" si="34"/>
        <v>604</v>
      </c>
      <c r="L90" s="97">
        <f t="shared" ca="1" si="35"/>
        <v>517.29999999999995</v>
      </c>
      <c r="M90" s="64"/>
      <c r="N90" s="8"/>
      <c r="O90" s="13"/>
      <c r="P90" s="22"/>
      <c r="Q90" s="3"/>
      <c r="R90" s="8"/>
      <c r="S90" s="13"/>
      <c r="T90" s="31"/>
      <c r="U90" s="33" t="s">
        <v>419</v>
      </c>
      <c r="V90" s="8">
        <v>46079</v>
      </c>
      <c r="W90" s="8">
        <f t="shared" si="36"/>
        <v>46093</v>
      </c>
      <c r="X90" s="13">
        <f t="shared" si="37"/>
        <v>77</v>
      </c>
      <c r="Y90" s="8">
        <f t="shared" si="38"/>
        <v>46156</v>
      </c>
      <c r="Z90" s="28">
        <v>35</v>
      </c>
      <c r="AA90" s="29">
        <f t="shared" si="39"/>
        <v>46191</v>
      </c>
      <c r="AB90" s="28">
        <f t="shared" si="40"/>
        <v>25</v>
      </c>
    </row>
    <row r="91" spans="1:31" ht="22.15" customHeight="1" x14ac:dyDescent="0.25">
      <c r="A91" s="9">
        <v>103</v>
      </c>
      <c r="B91" s="86" t="s">
        <v>402</v>
      </c>
      <c r="C91" s="3" t="s">
        <v>12</v>
      </c>
      <c r="D91" s="28">
        <v>22</v>
      </c>
      <c r="E91" s="29">
        <v>46087</v>
      </c>
      <c r="F91" s="3">
        <v>396</v>
      </c>
      <c r="G91" s="13">
        <f t="shared" ca="1" si="32"/>
        <v>53</v>
      </c>
      <c r="H91" s="13">
        <v>90</v>
      </c>
      <c r="I91" s="13">
        <f t="shared" ca="1" si="33"/>
        <v>480.8</v>
      </c>
      <c r="J91" s="9">
        <v>1.6</v>
      </c>
      <c r="K91" s="3">
        <f t="shared" si="34"/>
        <v>540</v>
      </c>
      <c r="L91" s="97">
        <f t="shared" ca="1" si="35"/>
        <v>480.8</v>
      </c>
      <c r="M91" s="64"/>
      <c r="N91" s="8"/>
      <c r="O91" s="13"/>
      <c r="P91" s="22"/>
      <c r="Q91" s="3"/>
      <c r="R91" s="8"/>
      <c r="S91" s="13"/>
      <c r="T91" s="31"/>
      <c r="U91" s="33">
        <v>0</v>
      </c>
      <c r="V91" s="8">
        <v>46088</v>
      </c>
      <c r="W91" s="8">
        <f t="shared" si="36"/>
        <v>46102</v>
      </c>
      <c r="X91" s="13">
        <f t="shared" si="37"/>
        <v>54</v>
      </c>
      <c r="Y91" s="8">
        <f t="shared" si="38"/>
        <v>46142</v>
      </c>
      <c r="Z91" s="28">
        <v>35</v>
      </c>
      <c r="AA91" s="29">
        <f t="shared" si="39"/>
        <v>46177</v>
      </c>
      <c r="AB91" s="28">
        <f t="shared" si="40"/>
        <v>23</v>
      </c>
    </row>
    <row r="92" spans="1:31" ht="22.15" customHeight="1" x14ac:dyDescent="0.25">
      <c r="A92" s="9">
        <v>104</v>
      </c>
      <c r="B92" s="86" t="s">
        <v>424</v>
      </c>
      <c r="C92" s="3" t="s">
        <v>12</v>
      </c>
      <c r="D92" s="100">
        <v>14</v>
      </c>
      <c r="E92" s="107">
        <v>46105</v>
      </c>
      <c r="F92" s="3">
        <v>360</v>
      </c>
      <c r="G92" s="13">
        <f t="shared" ca="1" si="32"/>
        <v>35</v>
      </c>
      <c r="H92" s="13">
        <v>90</v>
      </c>
      <c r="I92" s="13">
        <f t="shared" ca="1" si="33"/>
        <v>416</v>
      </c>
      <c r="J92" s="9">
        <v>1.6</v>
      </c>
      <c r="K92" s="13">
        <f t="shared" si="34"/>
        <v>504</v>
      </c>
      <c r="L92" s="97">
        <f t="shared" ca="1" si="35"/>
        <v>416</v>
      </c>
      <c r="M92" s="64"/>
      <c r="N92" s="8"/>
      <c r="O92" s="13"/>
      <c r="P92" s="22"/>
      <c r="Q92" s="3"/>
      <c r="R92" s="8"/>
      <c r="S92" s="13"/>
      <c r="T92" s="31"/>
      <c r="U92" s="33"/>
      <c r="V92" s="8">
        <v>46122</v>
      </c>
      <c r="W92" s="8">
        <f t="shared" si="36"/>
        <v>46136</v>
      </c>
      <c r="X92" s="13">
        <f t="shared" si="37"/>
        <v>38</v>
      </c>
      <c r="Y92" s="8">
        <f t="shared" si="38"/>
        <v>46160</v>
      </c>
      <c r="Z92" s="28">
        <v>35</v>
      </c>
      <c r="AA92" s="29">
        <f t="shared" si="39"/>
        <v>46195</v>
      </c>
      <c r="AB92" s="28">
        <f t="shared" si="40"/>
        <v>26</v>
      </c>
    </row>
    <row r="93" spans="1:31" ht="22.15" customHeight="1" x14ac:dyDescent="0.25">
      <c r="A93" s="9">
        <v>105</v>
      </c>
      <c r="B93" s="86" t="s">
        <v>403</v>
      </c>
      <c r="C93" s="3" t="s">
        <v>12</v>
      </c>
      <c r="D93" s="28">
        <v>14</v>
      </c>
      <c r="E93" s="29">
        <v>46087</v>
      </c>
      <c r="F93" s="3">
        <v>509</v>
      </c>
      <c r="G93" s="13">
        <f t="shared" ca="1" si="32"/>
        <v>53</v>
      </c>
      <c r="H93" s="13">
        <v>90</v>
      </c>
      <c r="I93" s="13">
        <f t="shared" ca="1" si="33"/>
        <v>599.1</v>
      </c>
      <c r="J93" s="9">
        <v>1.7</v>
      </c>
      <c r="K93" s="3">
        <f t="shared" si="34"/>
        <v>662</v>
      </c>
      <c r="L93" s="97">
        <f t="shared" ca="1" si="35"/>
        <v>599.1</v>
      </c>
      <c r="M93" s="64"/>
      <c r="N93" s="8"/>
      <c r="O93" s="13"/>
      <c r="P93" s="22"/>
      <c r="Q93" s="3"/>
      <c r="R93" s="8"/>
      <c r="S93" s="13"/>
      <c r="T93" s="31"/>
      <c r="U93" s="33">
        <v>0</v>
      </c>
      <c r="V93" s="8">
        <v>46088</v>
      </c>
      <c r="W93" s="8">
        <f t="shared" si="36"/>
        <v>46102</v>
      </c>
      <c r="X93" s="13">
        <f t="shared" si="37"/>
        <v>54</v>
      </c>
      <c r="Y93" s="8">
        <f t="shared" si="38"/>
        <v>46142</v>
      </c>
      <c r="Z93" s="28">
        <v>35</v>
      </c>
      <c r="AA93" s="29">
        <f t="shared" si="39"/>
        <v>46177</v>
      </c>
      <c r="AB93" s="28">
        <f t="shared" si="40"/>
        <v>23</v>
      </c>
    </row>
    <row r="94" spans="1:31" ht="22.15" customHeight="1" x14ac:dyDescent="0.25">
      <c r="A94" s="9">
        <v>106</v>
      </c>
      <c r="B94" s="86" t="s">
        <v>382</v>
      </c>
      <c r="C94" s="3" t="s">
        <v>12</v>
      </c>
      <c r="D94" s="28">
        <f>11+8</f>
        <v>19</v>
      </c>
      <c r="E94" s="29">
        <v>46079</v>
      </c>
      <c r="F94" s="3">
        <v>438</v>
      </c>
      <c r="G94" s="13">
        <f t="shared" ca="1" si="32"/>
        <v>61</v>
      </c>
      <c r="H94" s="13">
        <v>90</v>
      </c>
      <c r="I94" s="13">
        <f t="shared" ca="1" si="33"/>
        <v>541.70000000000005</v>
      </c>
      <c r="J94" s="9">
        <v>1.7</v>
      </c>
      <c r="K94" s="13">
        <f t="shared" si="34"/>
        <v>591</v>
      </c>
      <c r="L94" s="97">
        <f t="shared" ca="1" si="35"/>
        <v>541.70000000000005</v>
      </c>
      <c r="M94" s="64"/>
      <c r="N94" s="8"/>
      <c r="O94" s="13"/>
      <c r="P94" s="22"/>
      <c r="Q94" s="3"/>
      <c r="R94" s="8"/>
      <c r="S94" s="13"/>
      <c r="T94" s="31"/>
      <c r="U94" s="33">
        <f>V94-E94</f>
        <v>12</v>
      </c>
      <c r="V94" s="8">
        <v>46091</v>
      </c>
      <c r="W94" s="8">
        <f t="shared" si="36"/>
        <v>46105</v>
      </c>
      <c r="X94" s="13">
        <f t="shared" si="37"/>
        <v>43</v>
      </c>
      <c r="Y94" s="8">
        <f t="shared" si="38"/>
        <v>46134</v>
      </c>
      <c r="Z94" s="28">
        <v>35</v>
      </c>
      <c r="AA94" s="29">
        <f t="shared" si="39"/>
        <v>46169</v>
      </c>
      <c r="AB94" s="28">
        <f t="shared" si="40"/>
        <v>22</v>
      </c>
    </row>
    <row r="95" spans="1:31" ht="22.15" customHeight="1" x14ac:dyDescent="0.25">
      <c r="A95" s="9">
        <v>107</v>
      </c>
      <c r="B95" s="105" t="s">
        <v>334</v>
      </c>
      <c r="C95" s="3" t="s">
        <v>12</v>
      </c>
      <c r="D95" s="28">
        <v>17</v>
      </c>
      <c r="E95" s="29">
        <v>46049</v>
      </c>
      <c r="F95" s="3">
        <v>414</v>
      </c>
      <c r="G95" s="13">
        <f t="shared" ca="1" si="32"/>
        <v>91</v>
      </c>
      <c r="H95" s="13">
        <v>90</v>
      </c>
      <c r="I95" s="13">
        <f t="shared" ca="1" si="33"/>
        <v>568.70000000000005</v>
      </c>
      <c r="J95" s="9">
        <v>1.7</v>
      </c>
      <c r="K95" s="3">
        <f t="shared" si="34"/>
        <v>567</v>
      </c>
      <c r="L95" s="97">
        <f t="shared" ca="1" si="35"/>
        <v>568.70000000000005</v>
      </c>
      <c r="M95" s="64"/>
      <c r="N95" s="8"/>
      <c r="O95" s="13"/>
      <c r="P95" s="22"/>
      <c r="Q95" s="3"/>
      <c r="R95" s="8"/>
      <c r="S95" s="13"/>
      <c r="T95" s="31"/>
      <c r="U95" s="33">
        <v>0</v>
      </c>
      <c r="V95" s="8">
        <v>46059</v>
      </c>
      <c r="W95" s="8">
        <f t="shared" si="36"/>
        <v>46073</v>
      </c>
      <c r="X95" s="13">
        <f t="shared" si="37"/>
        <v>56</v>
      </c>
      <c r="Y95" s="8">
        <v>46115</v>
      </c>
      <c r="Z95" s="30">
        <v>35</v>
      </c>
      <c r="AA95" s="29">
        <f>Y95+Z95</f>
        <v>46150</v>
      </c>
      <c r="AB95" s="52">
        <f t="shared" si="40"/>
        <v>19</v>
      </c>
    </row>
    <row r="96" spans="1:31" ht="22.15" customHeight="1" x14ac:dyDescent="0.25">
      <c r="A96" s="9">
        <v>108</v>
      </c>
      <c r="B96" s="105" t="s">
        <v>334</v>
      </c>
      <c r="C96" s="3" t="s">
        <v>12</v>
      </c>
      <c r="D96" s="28">
        <v>18</v>
      </c>
      <c r="E96" s="29">
        <v>46049</v>
      </c>
      <c r="F96" s="3">
        <v>414</v>
      </c>
      <c r="G96" s="13">
        <f t="shared" ca="1" si="32"/>
        <v>91</v>
      </c>
      <c r="H96" s="13">
        <v>90</v>
      </c>
      <c r="I96" s="13">
        <f t="shared" ca="1" si="33"/>
        <v>568.70000000000005</v>
      </c>
      <c r="J96" s="9">
        <v>1.7</v>
      </c>
      <c r="K96" s="3">
        <f t="shared" si="34"/>
        <v>567</v>
      </c>
      <c r="L96" s="97">
        <f t="shared" ca="1" si="35"/>
        <v>568.70000000000005</v>
      </c>
      <c r="M96" s="64"/>
      <c r="N96" s="8"/>
      <c r="O96" s="13"/>
      <c r="P96" s="22"/>
      <c r="Q96" s="3"/>
      <c r="R96" s="8"/>
      <c r="S96" s="13"/>
      <c r="T96" s="31"/>
      <c r="U96" s="33">
        <v>0</v>
      </c>
      <c r="V96" s="8">
        <v>46059</v>
      </c>
      <c r="W96" s="8">
        <f t="shared" si="36"/>
        <v>46073</v>
      </c>
      <c r="X96" s="13">
        <f t="shared" si="37"/>
        <v>56</v>
      </c>
      <c r="Y96" s="8">
        <v>46115</v>
      </c>
      <c r="Z96" s="28">
        <v>35</v>
      </c>
      <c r="AA96" s="29">
        <f>Y96+Z96</f>
        <v>46150</v>
      </c>
      <c r="AB96" s="52">
        <f t="shared" si="40"/>
        <v>19</v>
      </c>
    </row>
    <row r="97" spans="1:42" ht="22.15" customHeight="1" x14ac:dyDescent="0.25">
      <c r="A97" s="9">
        <v>109</v>
      </c>
      <c r="B97" s="3"/>
      <c r="C97" s="3"/>
      <c r="D97" s="28"/>
      <c r="E97" s="29"/>
      <c r="F97" s="3"/>
      <c r="G97" s="13"/>
      <c r="H97" s="13"/>
      <c r="I97" s="13"/>
      <c r="J97" s="9"/>
      <c r="K97" s="13"/>
      <c r="L97" s="97"/>
      <c r="M97" s="64"/>
      <c r="N97" s="8"/>
      <c r="O97" s="13"/>
      <c r="P97" s="22"/>
      <c r="Q97" s="3"/>
      <c r="R97" s="8"/>
      <c r="S97" s="13"/>
      <c r="T97" s="31"/>
      <c r="U97" s="33"/>
      <c r="V97" s="8"/>
      <c r="W97" s="8"/>
      <c r="X97" s="13"/>
      <c r="Y97" s="8"/>
      <c r="Z97" s="28"/>
      <c r="AA97" s="29"/>
      <c r="AB97" s="28"/>
    </row>
    <row r="98" spans="1:42" ht="22.15" customHeight="1" x14ac:dyDescent="0.25">
      <c r="A98" s="9">
        <v>110</v>
      </c>
      <c r="B98" s="86" t="s">
        <v>345</v>
      </c>
      <c r="C98" s="3" t="s">
        <v>12</v>
      </c>
      <c r="D98" s="28">
        <v>4</v>
      </c>
      <c r="E98" s="8">
        <v>46049</v>
      </c>
      <c r="F98" s="3">
        <v>500</v>
      </c>
      <c r="G98" s="13">
        <f ca="1">B$3-E98</f>
        <v>91</v>
      </c>
      <c r="H98" s="13">
        <v>90</v>
      </c>
      <c r="I98" s="13">
        <f ca="1">F98+(G98*J98)</f>
        <v>654.70000000000005</v>
      </c>
      <c r="J98" s="9">
        <v>1.7</v>
      </c>
      <c r="K98" s="3">
        <f>(J98*H98)+F98</f>
        <v>653</v>
      </c>
      <c r="L98" s="97">
        <f ca="1">F98+(G98*J98)</f>
        <v>654.70000000000005</v>
      </c>
      <c r="M98" s="64"/>
      <c r="N98" s="8"/>
      <c r="O98" s="3"/>
      <c r="P98" s="22"/>
      <c r="Q98" s="3"/>
      <c r="R98" s="8"/>
      <c r="S98" s="13"/>
      <c r="T98" s="31"/>
      <c r="U98" s="33">
        <v>0</v>
      </c>
      <c r="V98" s="8">
        <v>46060</v>
      </c>
      <c r="W98" s="8">
        <f>V98+$W$3</f>
        <v>46074</v>
      </c>
      <c r="X98" s="13">
        <f>Y98-V98</f>
        <v>48</v>
      </c>
      <c r="Y98" s="8">
        <v>46108</v>
      </c>
      <c r="Z98" s="28">
        <v>35</v>
      </c>
      <c r="AA98" s="29">
        <f>E98+H98</f>
        <v>46139</v>
      </c>
      <c r="AB98" s="52">
        <f>_xlfn.ISOWEEKNUM(AA98)</f>
        <v>18</v>
      </c>
    </row>
    <row r="99" spans="1:42" ht="22.15" customHeight="1" x14ac:dyDescent="0.25">
      <c r="A99" s="9">
        <v>111</v>
      </c>
      <c r="B99" s="3"/>
      <c r="C99" s="3"/>
      <c r="D99" s="28"/>
      <c r="E99" s="8"/>
      <c r="F99" s="3"/>
      <c r="G99" s="13"/>
      <c r="H99" s="13"/>
      <c r="I99" s="13"/>
      <c r="J99" s="9"/>
      <c r="K99" s="3"/>
      <c r="L99" s="97"/>
      <c r="M99" s="64"/>
      <c r="N99" s="8"/>
      <c r="O99" s="13"/>
      <c r="P99" s="22"/>
      <c r="Q99" s="3"/>
      <c r="R99" s="8"/>
      <c r="S99" s="13"/>
      <c r="T99" s="31"/>
      <c r="U99" s="33"/>
      <c r="V99" s="8"/>
      <c r="W99" s="8"/>
      <c r="X99" s="13"/>
      <c r="Y99" s="8"/>
      <c r="Z99" s="28"/>
      <c r="AA99" s="29"/>
      <c r="AB99" s="28"/>
      <c r="AP99" s="2"/>
    </row>
    <row r="100" spans="1:42" ht="22.15" customHeight="1" x14ac:dyDescent="0.25">
      <c r="A100" s="9">
        <v>112</v>
      </c>
      <c r="B100" s="14"/>
      <c r="C100" s="3"/>
      <c r="D100" s="28"/>
      <c r="E100" s="29"/>
      <c r="F100" s="3"/>
      <c r="G100" s="13"/>
      <c r="H100" s="13"/>
      <c r="I100" s="13"/>
      <c r="J100" s="9"/>
      <c r="K100" s="13"/>
      <c r="L100" s="97"/>
      <c r="M100" s="64"/>
      <c r="N100" s="8"/>
      <c r="O100" s="13"/>
      <c r="P100" s="22"/>
      <c r="Q100" s="3"/>
      <c r="R100" s="8"/>
      <c r="S100" s="13"/>
      <c r="T100" s="31"/>
      <c r="U100" s="33"/>
      <c r="V100" s="8"/>
      <c r="W100" s="8"/>
      <c r="X100" s="13"/>
      <c r="Y100" s="8"/>
      <c r="Z100" s="28"/>
      <c r="AA100" s="29"/>
      <c r="AB100" s="53"/>
      <c r="AP100" s="2"/>
    </row>
    <row r="101" spans="1:42" ht="22.5" customHeight="1" x14ac:dyDescent="0.25">
      <c r="A101" s="9">
        <v>113</v>
      </c>
      <c r="B101" s="3"/>
      <c r="C101" s="3"/>
      <c r="D101" s="28"/>
      <c r="E101" s="29"/>
      <c r="F101" s="3"/>
      <c r="G101" s="13"/>
      <c r="H101" s="13"/>
      <c r="I101" s="13"/>
      <c r="J101" s="9"/>
      <c r="K101" s="13"/>
      <c r="L101" s="97"/>
      <c r="M101" s="64"/>
      <c r="N101" s="8"/>
      <c r="O101" s="13"/>
      <c r="P101" s="22"/>
      <c r="Q101" s="3"/>
      <c r="R101" s="8"/>
      <c r="S101" s="13"/>
      <c r="T101" s="31"/>
      <c r="U101" s="33"/>
      <c r="V101" s="8"/>
      <c r="W101" s="8"/>
      <c r="X101" s="13"/>
      <c r="Y101" s="8"/>
      <c r="Z101" s="28"/>
      <c r="AA101" s="29"/>
      <c r="AB101" s="53"/>
      <c r="AC101" s="6"/>
    </row>
    <row r="102" spans="1:42" ht="22.15" customHeight="1" x14ac:dyDescent="0.25">
      <c r="A102" s="9">
        <v>207</v>
      </c>
      <c r="B102" s="86" t="s">
        <v>432</v>
      </c>
      <c r="C102" s="3" t="s">
        <v>68</v>
      </c>
      <c r="D102" s="43">
        <f>20+5+18+6</f>
        <v>49</v>
      </c>
      <c r="E102" s="29">
        <v>46125</v>
      </c>
      <c r="F102" s="3">
        <v>257</v>
      </c>
      <c r="G102" s="3"/>
      <c r="H102" s="13"/>
      <c r="I102" s="13"/>
      <c r="J102" s="9"/>
      <c r="K102" s="3"/>
      <c r="L102" s="97"/>
      <c r="M102" s="64"/>
      <c r="N102" s="8"/>
      <c r="O102" s="13"/>
      <c r="P102" s="22"/>
      <c r="Q102" s="3"/>
      <c r="R102" s="8"/>
      <c r="S102" s="13"/>
      <c r="T102" s="31"/>
      <c r="U102" s="33"/>
      <c r="V102" s="8"/>
      <c r="W102" s="8"/>
      <c r="X102" s="13"/>
      <c r="Y102" s="8"/>
      <c r="Z102" s="28"/>
      <c r="AA102" s="29"/>
      <c r="AB102" s="28"/>
    </row>
    <row r="103" spans="1:42" ht="22.15" customHeight="1" x14ac:dyDescent="0.25">
      <c r="A103" s="9">
        <v>208</v>
      </c>
      <c r="B103" s="86" t="s">
        <v>433</v>
      </c>
      <c r="C103" s="3" t="s">
        <v>16</v>
      </c>
      <c r="D103" s="43">
        <f>2+6+2</f>
        <v>10</v>
      </c>
      <c r="E103" s="29">
        <v>46125</v>
      </c>
      <c r="F103" s="3">
        <v>294</v>
      </c>
      <c r="G103" s="13"/>
      <c r="H103" s="13"/>
      <c r="I103" s="13"/>
      <c r="J103" s="9"/>
      <c r="K103" s="3"/>
      <c r="L103" s="97"/>
      <c r="M103" s="64"/>
      <c r="N103" s="8"/>
      <c r="O103" s="13"/>
      <c r="P103" s="22"/>
      <c r="Q103" s="3"/>
      <c r="R103" s="8"/>
      <c r="S103" s="13"/>
      <c r="T103" s="31"/>
      <c r="U103" s="33"/>
      <c r="V103" s="8"/>
      <c r="W103" s="8"/>
      <c r="X103" s="13"/>
      <c r="Y103" s="8"/>
      <c r="Z103" s="28"/>
      <c r="AA103" s="29"/>
      <c r="AB103" s="28"/>
    </row>
    <row r="104" spans="1:42" ht="22.15" customHeight="1" x14ac:dyDescent="0.25">
      <c r="A104" s="9">
        <v>209</v>
      </c>
      <c r="B104" s="86" t="s">
        <v>438</v>
      </c>
      <c r="C104" s="3" t="s">
        <v>16</v>
      </c>
      <c r="D104" s="43">
        <f>5+2</f>
        <v>7</v>
      </c>
      <c r="E104" s="29">
        <v>46125</v>
      </c>
      <c r="F104" s="3">
        <v>224</v>
      </c>
      <c r="G104" s="13"/>
      <c r="H104" s="13"/>
      <c r="I104" s="13"/>
      <c r="J104" s="9"/>
      <c r="K104" s="3"/>
      <c r="L104" s="97"/>
      <c r="M104" s="64"/>
      <c r="N104" s="8"/>
      <c r="O104" s="13"/>
      <c r="P104" s="22"/>
      <c r="Q104" s="3"/>
      <c r="R104" s="8"/>
      <c r="S104" s="13"/>
      <c r="T104" s="31"/>
      <c r="U104" s="33"/>
      <c r="V104" s="8"/>
      <c r="W104" s="8"/>
      <c r="X104" s="13"/>
      <c r="Y104" s="8"/>
      <c r="Z104" s="28"/>
      <c r="AA104" s="29"/>
      <c r="AB104" s="53"/>
    </row>
    <row r="105" spans="1:42" ht="22.15" customHeight="1" x14ac:dyDescent="0.25">
      <c r="A105" s="9">
        <v>210</v>
      </c>
      <c r="B105" s="86" t="s">
        <v>445</v>
      </c>
      <c r="C105" s="3" t="s">
        <v>6</v>
      </c>
      <c r="D105" s="60">
        <v>4</v>
      </c>
      <c r="E105" s="29">
        <v>46127</v>
      </c>
      <c r="F105" s="13">
        <v>304</v>
      </c>
      <c r="G105" s="13"/>
      <c r="H105" s="13"/>
      <c r="I105" s="13"/>
      <c r="J105" s="9"/>
      <c r="K105" s="3"/>
      <c r="L105" s="97"/>
      <c r="M105" s="64"/>
      <c r="N105" s="8"/>
      <c r="O105" s="3"/>
      <c r="P105" s="22"/>
      <c r="Q105" s="3"/>
      <c r="R105" s="8"/>
      <c r="S105" s="13"/>
      <c r="T105" s="31"/>
      <c r="U105" s="33"/>
      <c r="V105" s="8"/>
      <c r="W105" s="8"/>
      <c r="X105" s="13"/>
      <c r="Y105" s="8"/>
      <c r="Z105" s="28"/>
      <c r="AA105" s="29"/>
      <c r="AB105" s="53"/>
    </row>
    <row r="106" spans="1:42" ht="22.15" customHeight="1" x14ac:dyDescent="0.25">
      <c r="A106" s="9" t="s">
        <v>397</v>
      </c>
      <c r="B106" s="3"/>
      <c r="C106" s="3"/>
      <c r="D106" s="28"/>
      <c r="E106" s="29"/>
      <c r="F106" s="3"/>
      <c r="G106" s="13"/>
      <c r="H106" s="13"/>
      <c r="I106" s="13"/>
      <c r="J106" s="9"/>
      <c r="K106" s="3"/>
      <c r="L106" s="97"/>
      <c r="M106" s="64"/>
      <c r="N106" s="8"/>
      <c r="O106" s="13"/>
      <c r="P106" s="22"/>
      <c r="Q106" s="3"/>
      <c r="R106" s="8"/>
      <c r="S106" s="13"/>
      <c r="T106" s="31"/>
      <c r="U106" s="33"/>
      <c r="V106" s="8"/>
      <c r="W106" s="8"/>
      <c r="X106" s="13"/>
      <c r="Y106" s="8"/>
      <c r="Z106" s="28"/>
      <c r="AA106" s="29"/>
      <c r="AB106" s="28"/>
    </row>
    <row r="107" spans="1:42" ht="22.15" customHeight="1" x14ac:dyDescent="0.25">
      <c r="A107" s="9" t="s">
        <v>448</v>
      </c>
      <c r="B107" s="3"/>
      <c r="C107" s="3"/>
      <c r="D107" s="28"/>
      <c r="E107" s="29"/>
      <c r="F107" s="3"/>
      <c r="G107" s="13"/>
      <c r="H107" s="13"/>
      <c r="I107" s="13"/>
      <c r="J107" s="9"/>
      <c r="K107" s="3"/>
      <c r="L107" s="97"/>
      <c r="M107" s="64"/>
      <c r="N107" s="8"/>
      <c r="O107" s="3"/>
      <c r="P107" s="22"/>
      <c r="Q107" s="3"/>
      <c r="R107" s="8"/>
      <c r="S107" s="13"/>
      <c r="T107" s="31"/>
      <c r="U107" s="33"/>
      <c r="V107" s="8"/>
      <c r="W107" s="8"/>
      <c r="X107" s="13"/>
      <c r="Y107" s="8"/>
      <c r="Z107" s="28"/>
      <c r="AA107" s="29"/>
      <c r="AB107" s="53"/>
    </row>
    <row r="108" spans="1:42" ht="22.15" customHeight="1" x14ac:dyDescent="0.25">
      <c r="A108" s="9" t="s">
        <v>446</v>
      </c>
      <c r="B108" s="3" t="s">
        <v>443</v>
      </c>
      <c r="C108" s="3" t="s">
        <v>6</v>
      </c>
      <c r="D108" s="28">
        <f>21+56</f>
        <v>77</v>
      </c>
      <c r="E108" s="29">
        <v>46127</v>
      </c>
      <c r="F108" s="3"/>
      <c r="G108" s="13"/>
      <c r="H108" s="13"/>
      <c r="I108" s="13"/>
      <c r="J108" s="9"/>
      <c r="K108" s="3"/>
      <c r="L108" s="97"/>
      <c r="M108" s="64"/>
      <c r="N108" s="8"/>
      <c r="O108" s="3"/>
      <c r="P108" s="22"/>
      <c r="Q108" s="3"/>
      <c r="R108" s="8"/>
      <c r="S108" s="13"/>
      <c r="T108" s="31"/>
      <c r="U108" s="33"/>
      <c r="V108" s="8"/>
      <c r="W108" s="8"/>
      <c r="X108" s="13"/>
      <c r="Y108" s="8"/>
      <c r="Z108" s="28"/>
      <c r="AA108" s="29"/>
      <c r="AB108" s="53"/>
    </row>
    <row r="109" spans="1:42" ht="22.15" customHeight="1" x14ac:dyDescent="0.25">
      <c r="A109" s="9" t="s">
        <v>447</v>
      </c>
      <c r="B109" s="3"/>
      <c r="C109" s="3"/>
      <c r="D109" s="28"/>
      <c r="E109" s="29"/>
      <c r="F109" s="3"/>
      <c r="G109" s="13"/>
      <c r="I109" s="13"/>
      <c r="J109" s="9"/>
      <c r="K109" s="3"/>
      <c r="L109" s="97"/>
      <c r="M109" s="64"/>
      <c r="N109" s="8"/>
      <c r="O109" s="3"/>
      <c r="P109" s="22"/>
      <c r="Q109" s="3"/>
      <c r="R109" s="8"/>
      <c r="S109" s="13"/>
      <c r="T109" s="31"/>
      <c r="U109" s="33"/>
      <c r="V109" s="8"/>
      <c r="W109" s="8"/>
      <c r="X109" s="13"/>
      <c r="Y109" s="8"/>
      <c r="Z109" s="28"/>
      <c r="AA109" s="29"/>
      <c r="AB109" s="53"/>
    </row>
    <row r="110" spans="1:42" ht="22.15" customHeight="1" x14ac:dyDescent="0.25">
      <c r="A110" s="9" t="s">
        <v>449</v>
      </c>
      <c r="B110" s="3"/>
      <c r="C110" s="3"/>
      <c r="D110" s="28"/>
      <c r="E110" s="29"/>
      <c r="F110" s="3"/>
      <c r="H110" s="13"/>
      <c r="I110" s="13"/>
      <c r="J110" s="9"/>
      <c r="K110" s="3"/>
      <c r="L110" s="97"/>
      <c r="M110" s="64"/>
      <c r="N110" s="8"/>
      <c r="O110" s="13"/>
      <c r="P110" s="22"/>
      <c r="Q110" s="3"/>
      <c r="R110" s="8"/>
      <c r="S110" s="13"/>
      <c r="T110" s="31"/>
      <c r="U110" s="33"/>
      <c r="V110" s="8"/>
      <c r="W110" s="8"/>
      <c r="X110" s="13"/>
      <c r="Y110" s="8"/>
      <c r="Z110" s="28"/>
      <c r="AA110" s="29"/>
      <c r="AB110" s="28"/>
    </row>
    <row r="111" spans="1:42" ht="22.15" customHeight="1" x14ac:dyDescent="0.25">
      <c r="A111" s="9" t="s">
        <v>450</v>
      </c>
      <c r="B111" s="92"/>
      <c r="C111" s="3"/>
      <c r="D111" s="104"/>
      <c r="E111" s="29"/>
      <c r="F111" s="13"/>
      <c r="G111" s="13"/>
      <c r="H111" s="13"/>
      <c r="I111" s="13"/>
      <c r="J111" s="9"/>
      <c r="K111" s="3"/>
      <c r="L111" s="97"/>
      <c r="M111" s="64"/>
      <c r="N111" s="8"/>
      <c r="O111" s="13"/>
      <c r="P111" s="22"/>
      <c r="Q111" s="3"/>
      <c r="R111" s="8"/>
      <c r="S111" s="13"/>
      <c r="T111" s="31"/>
      <c r="U111" s="33"/>
      <c r="V111" s="8"/>
      <c r="W111" s="8"/>
      <c r="X111" s="13"/>
      <c r="Y111" s="8"/>
      <c r="Z111" s="28"/>
      <c r="AA111" s="29"/>
      <c r="AB111" s="28"/>
    </row>
    <row r="112" spans="1:42" ht="22.15" customHeight="1" x14ac:dyDescent="0.25">
      <c r="A112" s="9" t="s">
        <v>451</v>
      </c>
      <c r="B112" s="92"/>
      <c r="C112" s="3"/>
      <c r="D112" s="104"/>
      <c r="E112" s="29"/>
      <c r="F112" s="3"/>
      <c r="G112" s="13"/>
      <c r="H112" s="13"/>
      <c r="I112" s="13"/>
      <c r="J112" s="9"/>
      <c r="K112" s="3"/>
      <c r="L112" s="97"/>
      <c r="M112" s="64"/>
      <c r="N112" s="8"/>
      <c r="O112" s="13"/>
      <c r="P112" s="22"/>
      <c r="Q112" s="3"/>
      <c r="R112" s="8"/>
      <c r="S112" s="13"/>
      <c r="T112" s="31"/>
      <c r="U112" s="33"/>
      <c r="V112" s="8"/>
      <c r="W112" s="8"/>
      <c r="X112" s="13"/>
      <c r="Y112" s="8"/>
      <c r="Z112" s="28"/>
      <c r="AA112" s="29"/>
      <c r="AB112" s="28"/>
    </row>
    <row r="113" spans="1:28" ht="22.5" customHeight="1" x14ac:dyDescent="0.25">
      <c r="A113" s="9" t="s">
        <v>452</v>
      </c>
      <c r="B113" s="86" t="s">
        <v>437</v>
      </c>
      <c r="C113" s="3" t="s">
        <v>16</v>
      </c>
      <c r="D113" s="43">
        <v>1</v>
      </c>
      <c r="E113" s="29">
        <v>46121</v>
      </c>
      <c r="F113" s="3">
        <v>144</v>
      </c>
      <c r="G113" s="13"/>
      <c r="H113" s="13"/>
      <c r="I113" s="13"/>
      <c r="J113" s="9"/>
      <c r="K113" s="3"/>
      <c r="L113" s="97"/>
      <c r="M113" s="64"/>
      <c r="N113" s="8"/>
      <c r="O113" s="13"/>
      <c r="P113" s="22"/>
      <c r="Q113" s="3"/>
      <c r="R113" s="8"/>
      <c r="S113" s="13"/>
      <c r="T113" s="31"/>
      <c r="U113" s="33"/>
      <c r="V113" s="8"/>
      <c r="W113" s="8"/>
      <c r="X113" s="13"/>
      <c r="Y113" s="8"/>
      <c r="Z113" s="28"/>
      <c r="AA113" s="29"/>
      <c r="AB113" s="28"/>
    </row>
    <row r="114" spans="1:28" ht="22.15" customHeight="1" x14ac:dyDescent="0.25">
      <c r="A114" s="9" t="s">
        <v>453</v>
      </c>
      <c r="B114" s="3"/>
      <c r="C114" s="3"/>
      <c r="D114" s="28"/>
      <c r="E114" s="29"/>
      <c r="F114" s="3"/>
      <c r="G114" s="3"/>
      <c r="H114" s="13"/>
      <c r="I114" s="13"/>
      <c r="J114" s="9"/>
      <c r="K114" s="3"/>
      <c r="L114" s="97"/>
      <c r="M114" s="64"/>
      <c r="N114" s="8"/>
      <c r="O114" s="13"/>
      <c r="P114" s="22"/>
      <c r="Q114" s="3"/>
      <c r="R114" s="8"/>
      <c r="S114" s="13"/>
      <c r="T114" s="31"/>
      <c r="U114" s="33"/>
      <c r="V114" s="8"/>
      <c r="W114" s="8"/>
      <c r="X114" s="13"/>
      <c r="Y114" s="8"/>
      <c r="Z114" s="28"/>
      <c r="AA114" s="29"/>
      <c r="AB114" s="28"/>
    </row>
    <row r="115" spans="1:28" ht="22.15" customHeight="1" x14ac:dyDescent="0.25">
      <c r="A115" s="9" t="s">
        <v>454</v>
      </c>
      <c r="B115" s="3"/>
      <c r="C115" s="3"/>
      <c r="D115" s="28"/>
      <c r="E115" s="29"/>
      <c r="F115" s="3"/>
      <c r="H115" s="13"/>
      <c r="I115" s="13"/>
      <c r="J115" s="9"/>
      <c r="K115" s="3"/>
      <c r="L115" s="97"/>
      <c r="M115" s="64"/>
      <c r="N115" s="8"/>
      <c r="O115" s="13"/>
      <c r="P115" s="22"/>
      <c r="Q115" s="3"/>
      <c r="R115" s="8"/>
      <c r="S115" s="13"/>
      <c r="T115" s="31"/>
      <c r="U115" s="33"/>
      <c r="V115" s="8"/>
      <c r="W115" s="8"/>
      <c r="X115" s="13"/>
      <c r="Y115" s="8"/>
      <c r="Z115" s="28"/>
      <c r="AA115" s="29"/>
      <c r="AB115" s="28"/>
    </row>
    <row r="116" spans="1:28" ht="22.15" customHeight="1" x14ac:dyDescent="0.25">
      <c r="A116" s="9" t="s">
        <v>455</v>
      </c>
      <c r="B116" s="3"/>
      <c r="C116" s="3"/>
      <c r="D116" s="28"/>
      <c r="E116" s="29"/>
      <c r="F116" s="3"/>
      <c r="G116" s="13"/>
      <c r="H116" s="13"/>
      <c r="I116" s="13"/>
      <c r="J116" s="9"/>
      <c r="K116" s="3"/>
      <c r="L116" s="97"/>
      <c r="M116" s="64"/>
      <c r="N116" s="8"/>
      <c r="O116" s="13"/>
      <c r="P116" s="22"/>
      <c r="Q116" s="3"/>
      <c r="R116" s="8"/>
      <c r="S116" s="13"/>
      <c r="T116" s="31"/>
      <c r="U116" s="33"/>
      <c r="V116" s="8"/>
      <c r="W116" s="8"/>
      <c r="X116" s="13"/>
      <c r="Y116" s="8"/>
      <c r="Z116" s="28"/>
      <c r="AA116" s="29"/>
      <c r="AB116" s="28"/>
    </row>
    <row r="117" spans="1:28" ht="22.15" customHeight="1" x14ac:dyDescent="0.25">
      <c r="A117" s="9" t="s">
        <v>184</v>
      </c>
      <c r="B117" s="3"/>
      <c r="C117" s="3" t="s">
        <v>186</v>
      </c>
      <c r="D117" s="28">
        <v>10</v>
      </c>
      <c r="E117" s="27"/>
      <c r="F117" s="3"/>
      <c r="G117" s="3"/>
      <c r="H117" s="13"/>
      <c r="I117" s="13"/>
      <c r="J117" s="9"/>
      <c r="K117" s="3"/>
      <c r="L117" s="97"/>
      <c r="M117" s="40"/>
      <c r="N117" s="8"/>
      <c r="O117" s="13"/>
      <c r="P117" s="22"/>
      <c r="Q117" s="3"/>
      <c r="R117" s="8"/>
      <c r="S117" s="13"/>
      <c r="T117" s="31"/>
      <c r="U117" s="41"/>
      <c r="V117" s="8"/>
      <c r="W117" s="8"/>
      <c r="X117" s="13"/>
      <c r="Y117" s="8"/>
      <c r="Z117" s="28"/>
      <c r="AA117" s="32"/>
      <c r="AB117" s="3"/>
    </row>
    <row r="118" spans="1:28" ht="22.15" customHeight="1" x14ac:dyDescent="0.25">
      <c r="A118" s="9" t="s">
        <v>185</v>
      </c>
      <c r="B118" s="3"/>
      <c r="C118" s="3" t="s">
        <v>6</v>
      </c>
      <c r="D118" s="28">
        <v>14</v>
      </c>
      <c r="E118" s="27"/>
      <c r="F118" s="3"/>
      <c r="G118" s="3"/>
      <c r="H118" s="13"/>
      <c r="I118" s="13"/>
      <c r="J118" s="9"/>
      <c r="K118" s="3"/>
      <c r="L118" s="97"/>
      <c r="M118" s="40"/>
      <c r="N118" s="8"/>
      <c r="O118" s="13"/>
      <c r="P118" s="22"/>
      <c r="Q118" s="3"/>
      <c r="R118" s="8"/>
      <c r="S118" s="13"/>
      <c r="T118" s="31"/>
      <c r="U118" s="41"/>
      <c r="V118" s="8"/>
      <c r="W118" s="8"/>
      <c r="X118" s="13"/>
      <c r="Y118" s="8"/>
      <c r="Z118" s="28"/>
      <c r="AA118" s="32"/>
      <c r="AB118" s="3"/>
    </row>
    <row r="119" spans="1:28" s="34" customFormat="1" ht="15.75" x14ac:dyDescent="0.25">
      <c r="A119" s="4"/>
      <c r="B119" s="35"/>
      <c r="D119" s="42">
        <f>SUM(D7:D118)</f>
        <v>4180</v>
      </c>
      <c r="N119" s="36"/>
      <c r="O119" s="37"/>
      <c r="P119" s="38"/>
      <c r="R119" s="36"/>
      <c r="S119" s="37"/>
      <c r="T119" s="38"/>
      <c r="X119" s="37"/>
      <c r="Y119" s="36"/>
      <c r="AA119" s="36"/>
      <c r="AB119" s="39"/>
    </row>
    <row r="120" spans="1:28" x14ac:dyDescent="0.25">
      <c r="B120" s="21"/>
      <c r="D120" s="7"/>
    </row>
    <row r="121" spans="1:28" x14ac:dyDescent="0.25">
      <c r="H121" s="2"/>
    </row>
    <row r="122" spans="1:28" x14ac:dyDescent="0.25">
      <c r="E122" s="2"/>
      <c r="F122" s="2"/>
    </row>
    <row r="123" spans="1:28" x14ac:dyDescent="0.25">
      <c r="D123" s="67"/>
    </row>
    <row r="124" spans="1:28" x14ac:dyDescent="0.25">
      <c r="D124" s="1" t="s">
        <v>460</v>
      </c>
      <c r="E124" s="2"/>
    </row>
  </sheetData>
  <autoFilter ref="A6:AB119" xr:uid="{3B68540F-394F-477C-8BCC-6F339E9831A1}">
    <sortState xmlns:xlrd2="http://schemas.microsoft.com/office/spreadsheetml/2017/richdata2" ref="A7:AB114">
      <sortCondition ref="A6:A114"/>
    </sortState>
  </autoFilter>
  <mergeCells count="17">
    <mergeCell ref="Q60:R60"/>
    <mergeCell ref="M24:N24"/>
    <mergeCell ref="M65:N65"/>
    <mergeCell ref="M51:N51"/>
    <mergeCell ref="M55:N55"/>
    <mergeCell ref="M48:N48"/>
    <mergeCell ref="A1:AB2"/>
    <mergeCell ref="A4:D5"/>
    <mergeCell ref="E4:L5"/>
    <mergeCell ref="M4:T5"/>
    <mergeCell ref="U4:Z5"/>
    <mergeCell ref="AA4:AB5"/>
    <mergeCell ref="M59:N59"/>
    <mergeCell ref="M67:N67"/>
    <mergeCell ref="M82:N82"/>
    <mergeCell ref="M58:N58"/>
    <mergeCell ref="M69:N69"/>
  </mergeCells>
  <phoneticPr fontId="2" type="noConversion"/>
  <conditionalFormatting sqref="A1:A1048576">
    <cfRule type="duplicateValues" dxfId="123" priority="1"/>
  </conditionalFormatting>
  <conditionalFormatting sqref="D3 B1:B2 B4:B1048576">
    <cfRule type="duplicateValues" dxfId="122" priority="2"/>
  </conditionalFormatting>
  <pageMargins left="0.62992125984251968" right="0.23622047244094491" top="0.74803149606299213" bottom="0.74803149606299213" header="0.31496062992125984" footer="0.31496062992125984"/>
  <pageSetup scale="23" fitToHeight="0" orientation="portrait" horizontalDpi="360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A1B78-3343-4399-B3FC-DB59A024D30C}">
  <sheetPr>
    <pageSetUpPr fitToPage="1"/>
  </sheetPr>
  <dimension ref="A1:Z77"/>
  <sheetViews>
    <sheetView tabSelected="1" zoomScale="90" zoomScaleNormal="90" workbookViewId="0">
      <selection activeCell="Q7" sqref="Q7"/>
    </sheetView>
  </sheetViews>
  <sheetFormatPr baseColWidth="10" defaultColWidth="11.5703125" defaultRowHeight="15" x14ac:dyDescent="0.25"/>
  <cols>
    <col min="1" max="1" width="12.140625" bestFit="1" customWidth="1"/>
    <col min="2" max="2" width="6" bestFit="1" customWidth="1"/>
    <col min="3" max="3" width="13.42578125" bestFit="1" customWidth="1"/>
    <col min="4" max="4" width="12.28515625" customWidth="1"/>
    <col min="5" max="5" width="14.42578125" bestFit="1" customWidth="1"/>
    <col min="6" max="8" width="17.85546875" bestFit="1" customWidth="1"/>
    <col min="9" max="9" width="21" bestFit="1" customWidth="1"/>
    <col min="10" max="10" width="21" customWidth="1"/>
    <col min="11" max="11" width="12.7109375" customWidth="1"/>
    <col min="12" max="12" width="14" customWidth="1"/>
    <col min="13" max="13" width="14.5703125" customWidth="1"/>
    <col min="14" max="14" width="10.140625" customWidth="1"/>
    <col min="15" max="15" width="11" customWidth="1"/>
    <col min="16" max="16" width="10.42578125" bestFit="1" customWidth="1"/>
    <col min="17" max="17" width="11.140625" customWidth="1"/>
  </cols>
  <sheetData>
    <row r="1" spans="1:26" ht="21" x14ac:dyDescent="0.35">
      <c r="A1" s="149" t="s">
        <v>164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</row>
    <row r="3" spans="1:26" x14ac:dyDescent="0.25">
      <c r="L3" s="49">
        <v>370</v>
      </c>
    </row>
    <row r="4" spans="1:26" x14ac:dyDescent="0.25">
      <c r="A4" s="168" t="s">
        <v>88</v>
      </c>
      <c r="B4" s="168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</row>
    <row r="5" spans="1:26" s="12" customFormat="1" ht="14.45" customHeight="1" x14ac:dyDescent="0.25">
      <c r="A5" s="169" t="s">
        <v>135</v>
      </c>
      <c r="B5" s="169"/>
      <c r="C5" s="169"/>
      <c r="D5" s="169"/>
      <c r="E5" s="169"/>
      <c r="F5" s="169" t="s">
        <v>30</v>
      </c>
      <c r="G5" s="169"/>
      <c r="H5" s="169"/>
      <c r="I5" s="169"/>
      <c r="J5" s="170"/>
      <c r="K5" s="171" t="s">
        <v>137</v>
      </c>
      <c r="L5" s="172"/>
      <c r="M5" s="172"/>
      <c r="N5" s="172"/>
      <c r="O5" s="172"/>
      <c r="P5" s="173"/>
      <c r="Q5" s="174" t="s">
        <v>134</v>
      </c>
      <c r="R5" s="49"/>
      <c r="S5" s="49"/>
      <c r="T5" s="49"/>
      <c r="U5" s="49"/>
      <c r="V5" s="49"/>
      <c r="W5" s="49"/>
      <c r="X5" s="49"/>
      <c r="Y5" s="49"/>
      <c r="Z5" s="49"/>
    </row>
    <row r="6" spans="1:26" s="50" customFormat="1" ht="24" x14ac:dyDescent="0.25">
      <c r="A6" s="175" t="s">
        <v>31</v>
      </c>
      <c r="B6" s="175" t="s">
        <v>169</v>
      </c>
      <c r="C6" s="175" t="s">
        <v>170</v>
      </c>
      <c r="D6" s="175" t="s">
        <v>34</v>
      </c>
      <c r="E6" s="175" t="s">
        <v>165</v>
      </c>
      <c r="F6" s="175" t="s">
        <v>13</v>
      </c>
      <c r="G6" s="175" t="s">
        <v>129</v>
      </c>
      <c r="H6" s="175" t="s">
        <v>14</v>
      </c>
      <c r="I6" s="175" t="s">
        <v>15</v>
      </c>
      <c r="J6" s="175" t="s">
        <v>357</v>
      </c>
      <c r="K6" s="175" t="s">
        <v>126</v>
      </c>
      <c r="L6" s="175" t="s">
        <v>167</v>
      </c>
      <c r="M6" s="175" t="s">
        <v>168</v>
      </c>
      <c r="N6" s="175" t="s">
        <v>166</v>
      </c>
      <c r="O6" s="175" t="s">
        <v>188</v>
      </c>
      <c r="P6" s="175" t="s">
        <v>33</v>
      </c>
      <c r="Q6" s="176"/>
    </row>
    <row r="7" spans="1:26" x14ac:dyDescent="0.25">
      <c r="A7" s="177" t="s">
        <v>17</v>
      </c>
      <c r="B7" s="178">
        <v>125</v>
      </c>
      <c r="C7" s="178">
        <f>Q7-B7</f>
        <v>455</v>
      </c>
      <c r="D7" s="179">
        <v>1.3</v>
      </c>
      <c r="E7" s="180">
        <f>C7/D7</f>
        <v>350</v>
      </c>
      <c r="F7" s="178" t="s">
        <v>171</v>
      </c>
      <c r="G7" s="178" t="s">
        <v>175</v>
      </c>
      <c r="H7" s="178" t="s">
        <v>174</v>
      </c>
      <c r="I7" s="178" t="s">
        <v>174</v>
      </c>
      <c r="J7" s="178" t="s">
        <v>355</v>
      </c>
      <c r="K7" s="178">
        <v>5</v>
      </c>
      <c r="L7" s="180">
        <f>((L$3-B7)/D7)</f>
        <v>188.46153846153845</v>
      </c>
      <c r="M7" s="178">
        <v>14</v>
      </c>
      <c r="N7" s="180">
        <f>E7-L7-M7-O7</f>
        <v>112.53846153846155</v>
      </c>
      <c r="O7" s="178">
        <v>35</v>
      </c>
      <c r="P7" s="180">
        <f>L7+M7+N7+O7</f>
        <v>350</v>
      </c>
      <c r="Q7" s="178">
        <v>580</v>
      </c>
      <c r="R7" s="16"/>
      <c r="S7" s="16"/>
    </row>
    <row r="8" spans="1:26" x14ac:dyDescent="0.25">
      <c r="A8" s="177" t="s">
        <v>18</v>
      </c>
      <c r="B8" s="178">
        <v>165.5</v>
      </c>
      <c r="C8" s="178">
        <f t="shared" ref="C8:C19" si="0">Q8-B8</f>
        <v>414.5</v>
      </c>
      <c r="D8" s="179">
        <v>1.35</v>
      </c>
      <c r="E8" s="180">
        <f t="shared" ref="E8:E17" si="1">C8/D8</f>
        <v>307.03703703703701</v>
      </c>
      <c r="F8" s="178" t="s">
        <v>171</v>
      </c>
      <c r="G8" s="178" t="s">
        <v>175</v>
      </c>
      <c r="H8" s="178" t="s">
        <v>174</v>
      </c>
      <c r="I8" s="178" t="s">
        <v>174</v>
      </c>
      <c r="J8" s="178" t="s">
        <v>355</v>
      </c>
      <c r="K8" s="178">
        <v>5</v>
      </c>
      <c r="L8" s="180">
        <f t="shared" ref="L8:L15" si="2">((L$3-B8)/D8)</f>
        <v>151.48148148148147</v>
      </c>
      <c r="M8" s="178">
        <v>14</v>
      </c>
      <c r="N8" s="180">
        <f t="shared" ref="N8:N16" si="3">E8-L8-M8-O8</f>
        <v>106.55555555555554</v>
      </c>
      <c r="O8" s="178">
        <v>35</v>
      </c>
      <c r="P8" s="180">
        <f t="shared" ref="P8:P11" si="4">L8+M8+N8+O8</f>
        <v>307.03703703703701</v>
      </c>
      <c r="Q8" s="178">
        <v>580</v>
      </c>
      <c r="R8" s="16"/>
      <c r="S8" s="16"/>
    </row>
    <row r="9" spans="1:26" x14ac:dyDescent="0.25">
      <c r="A9" s="181" t="s">
        <v>19</v>
      </c>
      <c r="B9" s="178">
        <v>195.5</v>
      </c>
      <c r="C9" s="178">
        <f t="shared" si="0"/>
        <v>384.5</v>
      </c>
      <c r="D9" s="179">
        <v>1.4</v>
      </c>
      <c r="E9" s="180">
        <f t="shared" si="1"/>
        <v>274.64285714285717</v>
      </c>
      <c r="F9" s="178" t="s">
        <v>171</v>
      </c>
      <c r="G9" s="178" t="s">
        <v>175</v>
      </c>
      <c r="H9" s="178" t="s">
        <v>174</v>
      </c>
      <c r="I9" s="178" t="s">
        <v>355</v>
      </c>
      <c r="J9" s="178"/>
      <c r="K9" s="178">
        <v>5</v>
      </c>
      <c r="L9" s="180">
        <f t="shared" si="2"/>
        <v>124.64285714285715</v>
      </c>
      <c r="M9" s="178">
        <v>14</v>
      </c>
      <c r="N9" s="180">
        <f t="shared" si="3"/>
        <v>101</v>
      </c>
      <c r="O9" s="178">
        <v>35</v>
      </c>
      <c r="P9" s="180">
        <f t="shared" si="4"/>
        <v>274.64285714285717</v>
      </c>
      <c r="Q9" s="178">
        <v>580</v>
      </c>
      <c r="R9" s="16"/>
      <c r="S9" s="16"/>
    </row>
    <row r="10" spans="1:26" x14ac:dyDescent="0.25">
      <c r="A10" s="181" t="s">
        <v>20</v>
      </c>
      <c r="B10" s="178">
        <v>225.5</v>
      </c>
      <c r="C10" s="178">
        <f t="shared" si="0"/>
        <v>354.5</v>
      </c>
      <c r="D10" s="179">
        <v>1.4</v>
      </c>
      <c r="E10" s="180">
        <f t="shared" si="1"/>
        <v>253.21428571428572</v>
      </c>
      <c r="F10" s="178" t="s">
        <v>171</v>
      </c>
      <c r="G10" s="178" t="s">
        <v>175</v>
      </c>
      <c r="H10" s="178" t="s">
        <v>174</v>
      </c>
      <c r="I10" s="178" t="s">
        <v>355</v>
      </c>
      <c r="J10" s="178"/>
      <c r="K10" s="178">
        <v>5</v>
      </c>
      <c r="L10" s="180">
        <f t="shared" si="2"/>
        <v>103.21428571428572</v>
      </c>
      <c r="M10" s="178">
        <v>14</v>
      </c>
      <c r="N10" s="180">
        <f t="shared" si="3"/>
        <v>101</v>
      </c>
      <c r="O10" s="178">
        <v>35</v>
      </c>
      <c r="P10" s="180">
        <f t="shared" si="4"/>
        <v>253.21428571428572</v>
      </c>
      <c r="Q10" s="178">
        <v>580</v>
      </c>
      <c r="R10" s="16"/>
      <c r="S10" s="16"/>
    </row>
    <row r="11" spans="1:26" x14ac:dyDescent="0.25">
      <c r="A11" s="181" t="s">
        <v>21</v>
      </c>
      <c r="B11" s="178">
        <v>255.5</v>
      </c>
      <c r="C11" s="178">
        <f t="shared" si="0"/>
        <v>324.5</v>
      </c>
      <c r="D11" s="179">
        <v>1.45</v>
      </c>
      <c r="E11" s="180">
        <f t="shared" si="1"/>
        <v>223.79310344827587</v>
      </c>
      <c r="F11" s="178" t="s">
        <v>171</v>
      </c>
      <c r="G11" s="178" t="s">
        <v>175</v>
      </c>
      <c r="H11" s="178" t="s">
        <v>355</v>
      </c>
      <c r="I11" s="178" t="s">
        <v>178</v>
      </c>
      <c r="J11" s="178"/>
      <c r="K11" s="178">
        <v>5</v>
      </c>
      <c r="L11" s="180">
        <f t="shared" si="2"/>
        <v>78.965517241379317</v>
      </c>
      <c r="M11" s="178">
        <v>14</v>
      </c>
      <c r="N11" s="180">
        <f t="shared" si="3"/>
        <v>95.827586206896569</v>
      </c>
      <c r="O11" s="178">
        <v>35</v>
      </c>
      <c r="P11" s="180">
        <f t="shared" si="4"/>
        <v>223.79310344827587</v>
      </c>
      <c r="Q11" s="178">
        <v>580</v>
      </c>
      <c r="R11" s="16"/>
      <c r="S11" s="16"/>
    </row>
    <row r="12" spans="1:26" x14ac:dyDescent="0.25">
      <c r="A12" s="182" t="s">
        <v>22</v>
      </c>
      <c r="B12" s="178">
        <v>280.5</v>
      </c>
      <c r="C12" s="178">
        <f t="shared" si="0"/>
        <v>299.5</v>
      </c>
      <c r="D12" s="179">
        <v>1.5</v>
      </c>
      <c r="E12" s="180">
        <f t="shared" si="1"/>
        <v>199.66666666666666</v>
      </c>
      <c r="F12" s="178" t="s">
        <v>172</v>
      </c>
      <c r="G12" s="178" t="s">
        <v>174</v>
      </c>
      <c r="H12" s="178" t="s">
        <v>355</v>
      </c>
      <c r="I12" s="178" t="s">
        <v>178</v>
      </c>
      <c r="J12" s="178"/>
      <c r="K12" s="178"/>
      <c r="L12" s="180">
        <f t="shared" si="2"/>
        <v>59.666666666666664</v>
      </c>
      <c r="M12" s="178">
        <v>14</v>
      </c>
      <c r="N12" s="180">
        <f t="shared" si="3"/>
        <v>91</v>
      </c>
      <c r="O12" s="178">
        <v>35</v>
      </c>
      <c r="P12" s="180">
        <f>K12+L12+M12+N12+O12</f>
        <v>199.66666666666666</v>
      </c>
      <c r="Q12" s="178">
        <v>580</v>
      </c>
      <c r="R12" s="16"/>
      <c r="S12" s="16"/>
    </row>
    <row r="13" spans="1:26" x14ac:dyDescent="0.25">
      <c r="A13" s="182" t="s">
        <v>23</v>
      </c>
      <c r="B13" s="178">
        <v>300.5</v>
      </c>
      <c r="C13" s="178">
        <f t="shared" si="0"/>
        <v>279.5</v>
      </c>
      <c r="D13" s="179">
        <v>1.55</v>
      </c>
      <c r="E13" s="180">
        <f t="shared" si="1"/>
        <v>180.32258064516128</v>
      </c>
      <c r="F13" s="178" t="s">
        <v>172</v>
      </c>
      <c r="G13" s="178" t="s">
        <v>355</v>
      </c>
      <c r="H13" s="178" t="s">
        <v>178</v>
      </c>
      <c r="I13" s="178" t="s">
        <v>178</v>
      </c>
      <c r="J13" s="178"/>
      <c r="K13" s="178"/>
      <c r="L13" s="180">
        <f t="shared" si="2"/>
        <v>44.838709677419352</v>
      </c>
      <c r="M13" s="178">
        <v>14</v>
      </c>
      <c r="N13" s="180">
        <f t="shared" si="3"/>
        <v>86.483870967741922</v>
      </c>
      <c r="O13" s="178">
        <v>35</v>
      </c>
      <c r="P13" s="180">
        <f t="shared" ref="P13:P19" si="5">K13+L13+M13+N13+O13</f>
        <v>180.32258064516128</v>
      </c>
      <c r="Q13" s="178">
        <v>580</v>
      </c>
      <c r="R13" s="16"/>
      <c r="S13" s="16"/>
    </row>
    <row r="14" spans="1:26" x14ac:dyDescent="0.25">
      <c r="A14" s="182" t="s">
        <v>24</v>
      </c>
      <c r="B14" s="178">
        <v>320.5</v>
      </c>
      <c r="C14" s="178">
        <f t="shared" si="0"/>
        <v>259.5</v>
      </c>
      <c r="D14" s="179">
        <v>1.55</v>
      </c>
      <c r="E14" s="180">
        <f t="shared" si="1"/>
        <v>167.41935483870967</v>
      </c>
      <c r="F14" s="178" t="s">
        <v>172</v>
      </c>
      <c r="G14" s="178" t="s">
        <v>355</v>
      </c>
      <c r="H14" s="178" t="s">
        <v>178</v>
      </c>
      <c r="I14" s="178" t="s">
        <v>178</v>
      </c>
      <c r="J14" s="178"/>
      <c r="K14" s="178"/>
      <c r="L14" s="180">
        <f t="shared" si="2"/>
        <v>31.93548387096774</v>
      </c>
      <c r="M14" s="178">
        <v>14</v>
      </c>
      <c r="N14" s="180">
        <f t="shared" si="3"/>
        <v>86.483870967741922</v>
      </c>
      <c r="O14" s="178">
        <v>35</v>
      </c>
      <c r="P14" s="180">
        <f t="shared" si="5"/>
        <v>167.41935483870967</v>
      </c>
      <c r="Q14" s="178">
        <v>580</v>
      </c>
      <c r="R14" s="16"/>
      <c r="S14" s="16"/>
    </row>
    <row r="15" spans="1:26" x14ac:dyDescent="0.25">
      <c r="A15" s="183" t="s">
        <v>25</v>
      </c>
      <c r="B15" s="178">
        <v>340.5</v>
      </c>
      <c r="C15" s="178">
        <f t="shared" si="0"/>
        <v>239.5</v>
      </c>
      <c r="D15" s="179">
        <v>1.6</v>
      </c>
      <c r="E15" s="180">
        <f t="shared" si="1"/>
        <v>149.6875</v>
      </c>
      <c r="F15" s="178" t="s">
        <v>358</v>
      </c>
      <c r="G15" s="178" t="s">
        <v>178</v>
      </c>
      <c r="H15" s="178" t="s">
        <v>178</v>
      </c>
      <c r="I15" s="178" t="s">
        <v>178</v>
      </c>
      <c r="J15" s="178"/>
      <c r="K15" s="178"/>
      <c r="L15" s="180">
        <f t="shared" si="2"/>
        <v>18.4375</v>
      </c>
      <c r="M15" s="178">
        <v>14</v>
      </c>
      <c r="N15" s="180">
        <f t="shared" si="3"/>
        <v>82.25</v>
      </c>
      <c r="O15" s="178">
        <v>35</v>
      </c>
      <c r="P15" s="180">
        <f t="shared" si="5"/>
        <v>149.6875</v>
      </c>
      <c r="Q15" s="178">
        <v>580</v>
      </c>
      <c r="R15" s="16"/>
      <c r="S15" s="16"/>
    </row>
    <row r="16" spans="1:26" x14ac:dyDescent="0.25">
      <c r="A16" s="183" t="s">
        <v>26</v>
      </c>
      <c r="B16" s="178">
        <v>360.5</v>
      </c>
      <c r="C16" s="178">
        <f t="shared" si="0"/>
        <v>219.5</v>
      </c>
      <c r="D16" s="179">
        <v>1.7</v>
      </c>
      <c r="E16" s="180">
        <f t="shared" si="1"/>
        <v>129.11764705882354</v>
      </c>
      <c r="F16" s="178" t="s">
        <v>358</v>
      </c>
      <c r="G16" s="178" t="s">
        <v>178</v>
      </c>
      <c r="H16" s="178" t="s">
        <v>178</v>
      </c>
      <c r="I16" s="178" t="s">
        <v>178</v>
      </c>
      <c r="J16" s="178"/>
      <c r="K16" s="178"/>
      <c r="L16" s="180">
        <f>((L$3-B16)/D16)</f>
        <v>5.5882352941176476</v>
      </c>
      <c r="M16" s="178">
        <v>14</v>
      </c>
      <c r="N16" s="180">
        <f t="shared" si="3"/>
        <v>74.529411764705884</v>
      </c>
      <c r="O16" s="178">
        <v>35</v>
      </c>
      <c r="P16" s="180">
        <f t="shared" si="5"/>
        <v>129.11764705882354</v>
      </c>
      <c r="Q16" s="178">
        <v>580</v>
      </c>
      <c r="R16" s="16"/>
      <c r="S16" s="16"/>
    </row>
    <row r="17" spans="1:19" x14ac:dyDescent="0.25">
      <c r="A17" s="178" t="s">
        <v>27</v>
      </c>
      <c r="B17" s="178">
        <v>380.5</v>
      </c>
      <c r="C17" s="178">
        <f t="shared" si="0"/>
        <v>199.5</v>
      </c>
      <c r="D17" s="179">
        <v>1.7</v>
      </c>
      <c r="E17" s="180">
        <f t="shared" si="1"/>
        <v>117.35294117647059</v>
      </c>
      <c r="F17" s="178" t="s">
        <v>358</v>
      </c>
      <c r="G17" s="178" t="s">
        <v>178</v>
      </c>
      <c r="H17" s="178" t="s">
        <v>178</v>
      </c>
      <c r="I17" s="178" t="s">
        <v>178</v>
      </c>
      <c r="J17" s="178"/>
      <c r="K17" s="178"/>
      <c r="L17" s="180">
        <v>5</v>
      </c>
      <c r="M17" s="178">
        <v>14</v>
      </c>
      <c r="N17" s="180">
        <f>E17-L17-M17-O17</f>
        <v>63.352941176470594</v>
      </c>
      <c r="O17" s="178">
        <v>35</v>
      </c>
      <c r="P17" s="180">
        <f t="shared" si="5"/>
        <v>117.35294117647059</v>
      </c>
      <c r="Q17" s="178">
        <v>580</v>
      </c>
      <c r="R17" s="16"/>
      <c r="S17" s="16"/>
    </row>
    <row r="18" spans="1:19" x14ac:dyDescent="0.25">
      <c r="A18" s="184" t="s">
        <v>28</v>
      </c>
      <c r="B18" s="178">
        <v>400.5</v>
      </c>
      <c r="C18" s="178">
        <f t="shared" si="0"/>
        <v>179.5</v>
      </c>
      <c r="D18" s="179">
        <v>1.75</v>
      </c>
      <c r="E18" s="180">
        <f>(C18/D18)</f>
        <v>102.57142857142857</v>
      </c>
      <c r="F18" s="178" t="s">
        <v>173</v>
      </c>
      <c r="G18" s="178" t="s">
        <v>178</v>
      </c>
      <c r="H18" s="178" t="s">
        <v>178</v>
      </c>
      <c r="I18" s="178" t="s">
        <v>178</v>
      </c>
      <c r="J18" s="178"/>
      <c r="K18" s="178"/>
      <c r="L18" s="180">
        <v>5</v>
      </c>
      <c r="M18" s="178">
        <v>14</v>
      </c>
      <c r="N18" s="180">
        <v>50</v>
      </c>
      <c r="O18" s="178">
        <v>35</v>
      </c>
      <c r="P18" s="180">
        <f t="shared" si="5"/>
        <v>104</v>
      </c>
      <c r="Q18" s="178">
        <v>580</v>
      </c>
      <c r="R18" s="16"/>
      <c r="S18" s="16"/>
    </row>
    <row r="19" spans="1:19" x14ac:dyDescent="0.25">
      <c r="A19" s="184" t="s">
        <v>29</v>
      </c>
      <c r="B19" s="178">
        <v>420.5</v>
      </c>
      <c r="C19" s="178">
        <f t="shared" si="0"/>
        <v>159.5</v>
      </c>
      <c r="D19" s="179">
        <v>1.75</v>
      </c>
      <c r="E19" s="180">
        <f>(C19/D19)</f>
        <v>91.142857142857139</v>
      </c>
      <c r="F19" s="178" t="s">
        <v>173</v>
      </c>
      <c r="G19" s="178" t="s">
        <v>178</v>
      </c>
      <c r="H19" s="178" t="s">
        <v>178</v>
      </c>
      <c r="I19" s="178" t="s">
        <v>178</v>
      </c>
      <c r="J19" s="178"/>
      <c r="K19" s="178"/>
      <c r="L19" s="180">
        <v>0</v>
      </c>
      <c r="M19" s="178">
        <v>14</v>
      </c>
      <c r="N19" s="180">
        <v>42</v>
      </c>
      <c r="O19" s="178">
        <v>35</v>
      </c>
      <c r="P19" s="180">
        <f t="shared" si="5"/>
        <v>91</v>
      </c>
      <c r="Q19" s="178">
        <v>580</v>
      </c>
      <c r="R19" s="16"/>
      <c r="S19" s="16"/>
    </row>
    <row r="20" spans="1:19" x14ac:dyDescent="0.25">
      <c r="A20" s="185"/>
      <c r="B20" s="185"/>
      <c r="C20" s="185"/>
      <c r="D20" s="185"/>
      <c r="E20" s="185"/>
      <c r="F20" s="185"/>
      <c r="G20" s="185"/>
      <c r="H20" s="185"/>
      <c r="I20" s="185"/>
      <c r="J20" s="185"/>
      <c r="K20" s="185"/>
      <c r="L20" s="185"/>
      <c r="M20" s="185"/>
      <c r="N20" s="185"/>
      <c r="O20" s="185"/>
      <c r="P20" s="185"/>
      <c r="Q20" s="185"/>
    </row>
    <row r="21" spans="1:19" x14ac:dyDescent="0.25">
      <c r="A21" s="185"/>
      <c r="B21" s="185"/>
      <c r="C21" s="185"/>
      <c r="D21" s="185"/>
      <c r="E21" s="185"/>
      <c r="F21" s="185"/>
      <c r="G21" s="185"/>
      <c r="H21" s="185"/>
      <c r="I21" s="185"/>
      <c r="J21" s="185"/>
      <c r="K21" s="185"/>
      <c r="L21" s="186">
        <v>320</v>
      </c>
      <c r="M21" s="185"/>
      <c r="N21" s="185"/>
      <c r="O21" s="185"/>
      <c r="P21" s="185"/>
      <c r="Q21" s="185"/>
    </row>
    <row r="22" spans="1:19" x14ac:dyDescent="0.25">
      <c r="A22" s="187" t="s">
        <v>90</v>
      </c>
      <c r="B22" s="187"/>
      <c r="C22" s="187"/>
      <c r="D22" s="187"/>
      <c r="E22" s="187"/>
      <c r="F22" s="187"/>
      <c r="G22" s="187"/>
      <c r="H22" s="187"/>
      <c r="I22" s="187"/>
      <c r="J22" s="187"/>
      <c r="K22" s="187"/>
      <c r="L22" s="187"/>
      <c r="M22" s="187"/>
      <c r="N22" s="187"/>
      <c r="O22" s="187"/>
      <c r="P22" s="187"/>
      <c r="Q22" s="187"/>
    </row>
    <row r="23" spans="1:19" s="12" customFormat="1" x14ac:dyDescent="0.25">
      <c r="A23" s="169" t="s">
        <v>135</v>
      </c>
      <c r="B23" s="169"/>
      <c r="C23" s="169"/>
      <c r="D23" s="169"/>
      <c r="E23" s="169"/>
      <c r="F23" s="169" t="s">
        <v>30</v>
      </c>
      <c r="G23" s="169"/>
      <c r="H23" s="169"/>
      <c r="I23" s="169"/>
      <c r="J23" s="170"/>
      <c r="K23" s="171" t="s">
        <v>137</v>
      </c>
      <c r="L23" s="172"/>
      <c r="M23" s="172"/>
      <c r="N23" s="172"/>
      <c r="O23" s="172"/>
      <c r="P23" s="173"/>
      <c r="Q23" s="174" t="s">
        <v>134</v>
      </c>
    </row>
    <row r="24" spans="1:19" ht="24" x14ac:dyDescent="0.25">
      <c r="A24" s="175" t="s">
        <v>31</v>
      </c>
      <c r="B24" s="175" t="s">
        <v>169</v>
      </c>
      <c r="C24" s="175" t="s">
        <v>170</v>
      </c>
      <c r="D24" s="175" t="s">
        <v>34</v>
      </c>
      <c r="E24" s="175" t="s">
        <v>165</v>
      </c>
      <c r="F24" s="175" t="s">
        <v>13</v>
      </c>
      <c r="G24" s="175" t="s">
        <v>129</v>
      </c>
      <c r="H24" s="175" t="s">
        <v>14</v>
      </c>
      <c r="I24" s="175" t="s">
        <v>15</v>
      </c>
      <c r="J24" s="175"/>
      <c r="K24" s="175" t="s">
        <v>126</v>
      </c>
      <c r="L24" s="175" t="s">
        <v>167</v>
      </c>
      <c r="M24" s="175" t="s">
        <v>168</v>
      </c>
      <c r="N24" s="175" t="s">
        <v>166</v>
      </c>
      <c r="O24" s="175" t="s">
        <v>32</v>
      </c>
      <c r="P24" s="175" t="s">
        <v>33</v>
      </c>
      <c r="Q24" s="176"/>
      <c r="S24" s="19"/>
    </row>
    <row r="25" spans="1:19" x14ac:dyDescent="0.25">
      <c r="A25" s="188" t="s">
        <v>17</v>
      </c>
      <c r="B25" s="178">
        <v>125</v>
      </c>
      <c r="C25" s="178">
        <f t="shared" ref="C25:C37" si="6">Q25-B25</f>
        <v>415</v>
      </c>
      <c r="D25" s="179">
        <v>1.2</v>
      </c>
      <c r="E25" s="180">
        <f>C25/D25</f>
        <v>345.83333333333337</v>
      </c>
      <c r="F25" s="178" t="s">
        <v>171</v>
      </c>
      <c r="G25" s="178" t="s">
        <v>175</v>
      </c>
      <c r="H25" s="178" t="s">
        <v>174</v>
      </c>
      <c r="I25" s="178" t="s">
        <v>355</v>
      </c>
      <c r="J25" s="178"/>
      <c r="K25" s="178">
        <v>5</v>
      </c>
      <c r="L25" s="180">
        <f>((L$21-B25)/D25)</f>
        <v>162.5</v>
      </c>
      <c r="M25" s="178">
        <v>14</v>
      </c>
      <c r="N25" s="180">
        <f>E25-L25-M25-O25</f>
        <v>134.33333333333337</v>
      </c>
      <c r="O25" s="178">
        <v>35</v>
      </c>
      <c r="P25" s="180">
        <f>L25+M25+N25+O25</f>
        <v>345.83333333333337</v>
      </c>
      <c r="Q25" s="178">
        <v>540</v>
      </c>
      <c r="R25" s="16"/>
      <c r="S25" s="16"/>
    </row>
    <row r="26" spans="1:19" x14ac:dyDescent="0.25">
      <c r="A26" s="188" t="s">
        <v>18</v>
      </c>
      <c r="B26" s="178">
        <v>165.5</v>
      </c>
      <c r="C26" s="178">
        <f t="shared" si="6"/>
        <v>374.5</v>
      </c>
      <c r="D26" s="179">
        <v>1.3</v>
      </c>
      <c r="E26" s="180">
        <f t="shared" ref="E26:E37" si="7">C26/D26</f>
        <v>288.07692307692309</v>
      </c>
      <c r="F26" s="178" t="s">
        <v>171</v>
      </c>
      <c r="G26" s="178" t="s">
        <v>175</v>
      </c>
      <c r="H26" s="178" t="s">
        <v>174</v>
      </c>
      <c r="I26" s="178" t="s">
        <v>355</v>
      </c>
      <c r="J26" s="178"/>
      <c r="K26" s="178">
        <v>5</v>
      </c>
      <c r="L26" s="180">
        <f t="shared" ref="L26:L31" si="8">((L$21-B26)/D26)</f>
        <v>118.84615384615384</v>
      </c>
      <c r="M26" s="178">
        <v>14</v>
      </c>
      <c r="N26" s="180">
        <f t="shared" ref="N26:N37" si="9">E26-L26-M26-O26</f>
        <v>120.23076923076925</v>
      </c>
      <c r="O26" s="178">
        <v>35</v>
      </c>
      <c r="P26" s="180">
        <f t="shared" ref="P26:P32" si="10">L26+M26+N26+O26</f>
        <v>288.07692307692309</v>
      </c>
      <c r="Q26" s="178">
        <v>540</v>
      </c>
      <c r="R26" s="16"/>
      <c r="S26" s="19"/>
    </row>
    <row r="27" spans="1:19" x14ac:dyDescent="0.25">
      <c r="A27" s="189" t="s">
        <v>19</v>
      </c>
      <c r="B27" s="178">
        <v>195.5</v>
      </c>
      <c r="C27" s="178">
        <f t="shared" si="6"/>
        <v>344.5</v>
      </c>
      <c r="D27" s="179">
        <v>1.3</v>
      </c>
      <c r="E27" s="180">
        <f t="shared" si="7"/>
        <v>265</v>
      </c>
      <c r="F27" s="178" t="s">
        <v>171</v>
      </c>
      <c r="G27" s="178" t="s">
        <v>175</v>
      </c>
      <c r="H27" s="178" t="s">
        <v>174</v>
      </c>
      <c r="I27" s="178" t="s">
        <v>355</v>
      </c>
      <c r="J27" s="178"/>
      <c r="K27" s="178">
        <v>5</v>
      </c>
      <c r="L27" s="180">
        <f t="shared" si="8"/>
        <v>95.769230769230759</v>
      </c>
      <c r="M27" s="178">
        <v>14</v>
      </c>
      <c r="N27" s="180">
        <f t="shared" si="9"/>
        <v>120.23076923076923</v>
      </c>
      <c r="O27" s="178">
        <v>35</v>
      </c>
      <c r="P27" s="180">
        <f t="shared" si="10"/>
        <v>265</v>
      </c>
      <c r="Q27" s="178">
        <v>540</v>
      </c>
      <c r="R27" s="16"/>
      <c r="S27" s="19"/>
    </row>
    <row r="28" spans="1:19" x14ac:dyDescent="0.25">
      <c r="A28" s="189" t="s">
        <v>20</v>
      </c>
      <c r="B28" s="178">
        <v>225.5</v>
      </c>
      <c r="C28" s="178">
        <f t="shared" si="6"/>
        <v>314.5</v>
      </c>
      <c r="D28" s="179">
        <v>1.35</v>
      </c>
      <c r="E28" s="180">
        <f t="shared" si="7"/>
        <v>232.96296296296293</v>
      </c>
      <c r="F28" s="178" t="s">
        <v>171</v>
      </c>
      <c r="G28" s="178" t="s">
        <v>175</v>
      </c>
      <c r="H28" s="178" t="s">
        <v>174</v>
      </c>
      <c r="I28" s="178" t="s">
        <v>355</v>
      </c>
      <c r="J28" s="178"/>
      <c r="K28" s="178">
        <v>5</v>
      </c>
      <c r="L28" s="180">
        <f t="shared" si="8"/>
        <v>70</v>
      </c>
      <c r="M28" s="178">
        <v>14</v>
      </c>
      <c r="N28" s="180">
        <f t="shared" si="9"/>
        <v>113.96296296296293</v>
      </c>
      <c r="O28" s="178">
        <v>35</v>
      </c>
      <c r="P28" s="180">
        <f t="shared" si="10"/>
        <v>232.96296296296293</v>
      </c>
      <c r="Q28" s="178">
        <v>540</v>
      </c>
      <c r="R28" s="16"/>
      <c r="S28" s="19"/>
    </row>
    <row r="29" spans="1:19" x14ac:dyDescent="0.25">
      <c r="A29" s="190" t="s">
        <v>21</v>
      </c>
      <c r="B29" s="178">
        <v>255.5</v>
      </c>
      <c r="C29" s="178">
        <f>Q29-B29</f>
        <v>284.5</v>
      </c>
      <c r="D29" s="179">
        <v>1.35</v>
      </c>
      <c r="E29" s="180">
        <f>C29/D29</f>
        <v>210.74074074074073</v>
      </c>
      <c r="F29" s="178" t="s">
        <v>171</v>
      </c>
      <c r="G29" s="178" t="s">
        <v>175</v>
      </c>
      <c r="H29" s="178" t="s">
        <v>355</v>
      </c>
      <c r="I29" s="178" t="s">
        <v>178</v>
      </c>
      <c r="J29" s="178"/>
      <c r="K29" s="178">
        <v>5</v>
      </c>
      <c r="L29" s="180">
        <f>((L$21-B29)/D29)</f>
        <v>47.777777777777771</v>
      </c>
      <c r="M29" s="178">
        <v>14</v>
      </c>
      <c r="N29" s="180">
        <f>E29-L29-M29-O29</f>
        <v>113.96296296296296</v>
      </c>
      <c r="O29" s="178">
        <v>35</v>
      </c>
      <c r="P29" s="180">
        <f>L29+M29+N29+O29</f>
        <v>210.74074074074073</v>
      </c>
      <c r="Q29" s="178">
        <v>540</v>
      </c>
      <c r="R29" s="16"/>
      <c r="S29" s="19"/>
    </row>
    <row r="30" spans="1:19" x14ac:dyDescent="0.25">
      <c r="A30" s="190" t="s">
        <v>354</v>
      </c>
      <c r="B30" s="178">
        <v>280.5</v>
      </c>
      <c r="C30" s="178">
        <f t="shared" si="6"/>
        <v>259.5</v>
      </c>
      <c r="D30" s="179">
        <v>1.4</v>
      </c>
      <c r="E30" s="180">
        <f t="shared" si="7"/>
        <v>185.35714285714286</v>
      </c>
      <c r="F30" s="178" t="s">
        <v>172</v>
      </c>
      <c r="G30" s="178" t="s">
        <v>174</v>
      </c>
      <c r="H30" s="178" t="s">
        <v>355</v>
      </c>
      <c r="I30" s="178" t="s">
        <v>178</v>
      </c>
      <c r="J30" s="178"/>
      <c r="K30" s="178">
        <v>5</v>
      </c>
      <c r="L30" s="180">
        <f t="shared" si="8"/>
        <v>28.214285714285715</v>
      </c>
      <c r="M30" s="178">
        <v>14</v>
      </c>
      <c r="N30" s="180">
        <f t="shared" si="9"/>
        <v>108.14285714285714</v>
      </c>
      <c r="O30" s="178">
        <v>35</v>
      </c>
      <c r="P30" s="180">
        <f t="shared" si="10"/>
        <v>185.35714285714286</v>
      </c>
      <c r="Q30" s="178">
        <v>540</v>
      </c>
      <c r="R30" s="16"/>
      <c r="S30" s="19"/>
    </row>
    <row r="31" spans="1:19" x14ac:dyDescent="0.25">
      <c r="A31" s="191" t="s">
        <v>7</v>
      </c>
      <c r="B31" s="178">
        <v>300.5</v>
      </c>
      <c r="C31" s="178">
        <f t="shared" si="6"/>
        <v>239.5</v>
      </c>
      <c r="D31" s="179">
        <v>1.4</v>
      </c>
      <c r="E31" s="180">
        <f t="shared" si="7"/>
        <v>171.07142857142858</v>
      </c>
      <c r="F31" s="178" t="s">
        <v>172</v>
      </c>
      <c r="G31" s="178" t="s">
        <v>355</v>
      </c>
      <c r="H31" s="192" t="s">
        <v>178</v>
      </c>
      <c r="I31" s="178" t="s">
        <v>178</v>
      </c>
      <c r="J31" s="178"/>
      <c r="K31" s="178">
        <v>5</v>
      </c>
      <c r="L31" s="180">
        <f t="shared" si="8"/>
        <v>13.928571428571429</v>
      </c>
      <c r="M31" s="178">
        <v>14</v>
      </c>
      <c r="N31" s="180">
        <f t="shared" si="9"/>
        <v>108.14285714285717</v>
      </c>
      <c r="O31" s="178">
        <v>35</v>
      </c>
      <c r="P31" s="180">
        <f t="shared" si="10"/>
        <v>171.07142857142861</v>
      </c>
      <c r="Q31" s="178">
        <v>540</v>
      </c>
      <c r="R31" s="16"/>
      <c r="S31" s="19"/>
    </row>
    <row r="32" spans="1:19" x14ac:dyDescent="0.25">
      <c r="A32" s="191" t="s">
        <v>8</v>
      </c>
      <c r="B32" s="178">
        <v>320.5</v>
      </c>
      <c r="C32" s="178">
        <f t="shared" si="6"/>
        <v>219.5</v>
      </c>
      <c r="D32" s="179">
        <v>1.45</v>
      </c>
      <c r="E32" s="180">
        <f t="shared" si="7"/>
        <v>151.37931034482759</v>
      </c>
      <c r="F32" s="178" t="s">
        <v>172</v>
      </c>
      <c r="G32" s="178" t="s">
        <v>355</v>
      </c>
      <c r="H32" s="192" t="s">
        <v>178</v>
      </c>
      <c r="I32" s="178" t="s">
        <v>178</v>
      </c>
      <c r="J32" s="178"/>
      <c r="K32" s="178">
        <v>5</v>
      </c>
      <c r="L32" s="180">
        <v>5</v>
      </c>
      <c r="M32" s="178">
        <v>14</v>
      </c>
      <c r="N32" s="180">
        <f t="shared" si="9"/>
        <v>97.379310344827587</v>
      </c>
      <c r="O32" s="178">
        <v>35</v>
      </c>
      <c r="P32" s="180">
        <f t="shared" si="10"/>
        <v>151.37931034482759</v>
      </c>
      <c r="Q32" s="178">
        <v>540</v>
      </c>
      <c r="R32" s="16"/>
      <c r="S32" s="19"/>
    </row>
    <row r="33" spans="1:19" x14ac:dyDescent="0.25">
      <c r="A33" s="193" t="s">
        <v>93</v>
      </c>
      <c r="B33" s="178">
        <v>340.5</v>
      </c>
      <c r="C33" s="178">
        <f t="shared" si="6"/>
        <v>199.5</v>
      </c>
      <c r="D33" s="179">
        <v>1.5</v>
      </c>
      <c r="E33" s="180">
        <f t="shared" si="7"/>
        <v>133</v>
      </c>
      <c r="F33" s="178" t="s">
        <v>358</v>
      </c>
      <c r="G33" s="192" t="s">
        <v>178</v>
      </c>
      <c r="H33" s="192" t="s">
        <v>178</v>
      </c>
      <c r="I33" s="178" t="s">
        <v>178</v>
      </c>
      <c r="J33" s="178"/>
      <c r="K33" s="178">
        <v>0</v>
      </c>
      <c r="L33" s="180">
        <v>5</v>
      </c>
      <c r="M33" s="178">
        <v>14</v>
      </c>
      <c r="N33" s="180">
        <f t="shared" si="9"/>
        <v>79</v>
      </c>
      <c r="O33" s="178">
        <v>35</v>
      </c>
      <c r="P33" s="180">
        <f>K33+L33+M33+N33+O33</f>
        <v>133</v>
      </c>
      <c r="Q33" s="178">
        <v>540</v>
      </c>
      <c r="R33" s="16"/>
      <c r="S33" s="19"/>
    </row>
    <row r="34" spans="1:19" x14ac:dyDescent="0.25">
      <c r="A34" s="193" t="s">
        <v>94</v>
      </c>
      <c r="B34" s="178">
        <v>360.5</v>
      </c>
      <c r="C34" s="178">
        <f t="shared" si="6"/>
        <v>179.5</v>
      </c>
      <c r="D34" s="179">
        <v>1.5</v>
      </c>
      <c r="E34" s="180">
        <f t="shared" si="7"/>
        <v>119.66666666666667</v>
      </c>
      <c r="F34" s="178" t="s">
        <v>358</v>
      </c>
      <c r="G34" s="192" t="s">
        <v>178</v>
      </c>
      <c r="H34" s="192" t="s">
        <v>178</v>
      </c>
      <c r="I34" s="178" t="s">
        <v>178</v>
      </c>
      <c r="J34" s="178"/>
      <c r="K34" s="178">
        <v>0</v>
      </c>
      <c r="L34" s="180">
        <v>5</v>
      </c>
      <c r="M34" s="178">
        <v>14</v>
      </c>
      <c r="N34" s="180">
        <f t="shared" si="9"/>
        <v>65.666666666666671</v>
      </c>
      <c r="O34" s="178">
        <v>35</v>
      </c>
      <c r="P34" s="180">
        <f>K34+L34+M34+N34+O34</f>
        <v>119.66666666666667</v>
      </c>
      <c r="Q34" s="178">
        <v>540</v>
      </c>
      <c r="R34" s="16"/>
      <c r="S34" s="19"/>
    </row>
    <row r="35" spans="1:19" x14ac:dyDescent="0.25">
      <c r="A35" s="193" t="s">
        <v>95</v>
      </c>
      <c r="B35" s="178">
        <v>380.5</v>
      </c>
      <c r="C35" s="178">
        <f t="shared" si="6"/>
        <v>159.5</v>
      </c>
      <c r="D35" s="179">
        <v>1.5</v>
      </c>
      <c r="E35" s="180">
        <f t="shared" si="7"/>
        <v>106.33333333333333</v>
      </c>
      <c r="F35" s="178" t="s">
        <v>358</v>
      </c>
      <c r="G35" s="192" t="s">
        <v>178</v>
      </c>
      <c r="H35" s="192" t="s">
        <v>178</v>
      </c>
      <c r="I35" s="178" t="s">
        <v>178</v>
      </c>
      <c r="J35" s="178"/>
      <c r="K35" s="178">
        <v>0</v>
      </c>
      <c r="L35" s="180">
        <v>5</v>
      </c>
      <c r="M35" s="178">
        <v>14</v>
      </c>
      <c r="N35" s="180">
        <f t="shared" si="9"/>
        <v>52.333333333333329</v>
      </c>
      <c r="O35" s="178">
        <v>35</v>
      </c>
      <c r="P35" s="180">
        <f>K35+L35+M35+N35+O35</f>
        <v>106.33333333333333</v>
      </c>
      <c r="Q35" s="178">
        <v>540</v>
      </c>
      <c r="R35" s="16"/>
    </row>
    <row r="36" spans="1:19" x14ac:dyDescent="0.25">
      <c r="A36" s="193" t="s">
        <v>159</v>
      </c>
      <c r="B36" s="178">
        <v>400.5</v>
      </c>
      <c r="C36" s="178">
        <f t="shared" si="6"/>
        <v>139.5</v>
      </c>
      <c r="D36" s="179">
        <v>1.5</v>
      </c>
      <c r="E36" s="180">
        <f t="shared" si="7"/>
        <v>93</v>
      </c>
      <c r="F36" s="178" t="s">
        <v>173</v>
      </c>
      <c r="G36" s="192" t="s">
        <v>178</v>
      </c>
      <c r="H36" s="192" t="s">
        <v>178</v>
      </c>
      <c r="I36" s="178" t="s">
        <v>178</v>
      </c>
      <c r="J36" s="178"/>
      <c r="K36" s="178">
        <v>0</v>
      </c>
      <c r="L36" s="180">
        <v>5</v>
      </c>
      <c r="M36" s="178">
        <v>14</v>
      </c>
      <c r="N36" s="180">
        <f t="shared" si="9"/>
        <v>39</v>
      </c>
      <c r="O36" s="178">
        <v>35</v>
      </c>
      <c r="P36" s="180">
        <f>K36+L36+M36+N36+O36</f>
        <v>93</v>
      </c>
      <c r="Q36" s="178">
        <v>540</v>
      </c>
      <c r="R36" s="16"/>
    </row>
    <row r="37" spans="1:19" x14ac:dyDescent="0.25">
      <c r="A37" s="193" t="s">
        <v>160</v>
      </c>
      <c r="B37" s="178">
        <v>420.5</v>
      </c>
      <c r="C37" s="178">
        <f t="shared" si="6"/>
        <v>119.5</v>
      </c>
      <c r="D37" s="179">
        <v>1.5</v>
      </c>
      <c r="E37" s="180">
        <f t="shared" si="7"/>
        <v>79.666666666666671</v>
      </c>
      <c r="F37" s="178" t="s">
        <v>173</v>
      </c>
      <c r="G37" s="192" t="s">
        <v>178</v>
      </c>
      <c r="H37" s="192" t="s">
        <v>178</v>
      </c>
      <c r="I37" s="178" t="s">
        <v>178</v>
      </c>
      <c r="J37" s="178"/>
      <c r="K37" s="178">
        <v>0</v>
      </c>
      <c r="L37" s="180">
        <v>5</v>
      </c>
      <c r="M37" s="178">
        <v>14</v>
      </c>
      <c r="N37" s="180">
        <f t="shared" si="9"/>
        <v>25.666666666666671</v>
      </c>
      <c r="O37" s="178">
        <v>35</v>
      </c>
      <c r="P37" s="180">
        <f>K37+L37+M37+N37+O37</f>
        <v>79.666666666666671</v>
      </c>
      <c r="Q37" s="178">
        <v>540</v>
      </c>
      <c r="R37" s="16"/>
    </row>
    <row r="38" spans="1:19" x14ac:dyDescent="0.25">
      <c r="A38" s="194"/>
      <c r="B38" s="194"/>
      <c r="C38" s="194"/>
      <c r="D38" s="195"/>
      <c r="E38" s="196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194"/>
    </row>
    <row r="39" spans="1:19" x14ac:dyDescent="0.25">
      <c r="A39" s="194"/>
      <c r="B39" s="194"/>
      <c r="C39" s="194"/>
      <c r="D39" s="195"/>
      <c r="E39" s="196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194"/>
    </row>
    <row r="40" spans="1:19" x14ac:dyDescent="0.25">
      <c r="A40" s="185"/>
      <c r="B40" s="185"/>
      <c r="C40" s="185"/>
      <c r="D40" s="185"/>
      <c r="E40" s="185"/>
      <c r="F40" s="185"/>
      <c r="G40" s="185"/>
      <c r="H40" s="185"/>
      <c r="I40" s="185"/>
      <c r="J40" s="185"/>
      <c r="K40" s="185"/>
      <c r="L40" s="197">
        <v>370</v>
      </c>
      <c r="M40" s="185"/>
      <c r="N40" s="185"/>
      <c r="O40" s="185"/>
      <c r="P40" s="185"/>
      <c r="Q40" s="185"/>
    </row>
    <row r="41" spans="1:19" x14ac:dyDescent="0.25">
      <c r="A41" s="198" t="s">
        <v>359</v>
      </c>
      <c r="B41" s="198"/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</row>
    <row r="42" spans="1:19" x14ac:dyDescent="0.25">
      <c r="A42" s="169" t="s">
        <v>135</v>
      </c>
      <c r="B42" s="169"/>
      <c r="C42" s="169"/>
      <c r="D42" s="169"/>
      <c r="E42" s="169"/>
      <c r="F42" s="169" t="s">
        <v>30</v>
      </c>
      <c r="G42" s="169"/>
      <c r="H42" s="169"/>
      <c r="I42" s="169"/>
      <c r="J42" s="170"/>
      <c r="K42" s="171" t="s">
        <v>137</v>
      </c>
      <c r="L42" s="172"/>
      <c r="M42" s="172"/>
      <c r="N42" s="172"/>
      <c r="O42" s="172"/>
      <c r="P42" s="173"/>
      <c r="Q42" s="174" t="s">
        <v>134</v>
      </c>
    </row>
    <row r="43" spans="1:19" ht="24" x14ac:dyDescent="0.25">
      <c r="A43" s="175" t="s">
        <v>31</v>
      </c>
      <c r="B43" s="175" t="s">
        <v>169</v>
      </c>
      <c r="C43" s="175" t="s">
        <v>170</v>
      </c>
      <c r="D43" s="175" t="s">
        <v>34</v>
      </c>
      <c r="E43" s="175" t="s">
        <v>165</v>
      </c>
      <c r="F43" s="175" t="s">
        <v>13</v>
      </c>
      <c r="G43" s="175" t="s">
        <v>129</v>
      </c>
      <c r="H43" s="175" t="s">
        <v>14</v>
      </c>
      <c r="I43" s="175" t="s">
        <v>15</v>
      </c>
      <c r="J43" s="175"/>
      <c r="K43" s="175" t="s">
        <v>126</v>
      </c>
      <c r="L43" s="175" t="s">
        <v>167</v>
      </c>
      <c r="M43" s="175" t="s">
        <v>168</v>
      </c>
      <c r="N43" s="175" t="s">
        <v>166</v>
      </c>
      <c r="O43" s="175" t="s">
        <v>32</v>
      </c>
      <c r="P43" s="175" t="s">
        <v>33</v>
      </c>
      <c r="Q43" s="176"/>
    </row>
    <row r="44" spans="1:19" x14ac:dyDescent="0.25">
      <c r="A44" s="178" t="s">
        <v>17</v>
      </c>
      <c r="B44" s="178">
        <v>125</v>
      </c>
      <c r="C44" s="178">
        <f t="shared" ref="C44:C56" si="11">Q44-B44</f>
        <v>455</v>
      </c>
      <c r="D44" s="179">
        <v>1.8</v>
      </c>
      <c r="E44" s="180">
        <f>C44/D44</f>
        <v>252.77777777777777</v>
      </c>
      <c r="F44" s="178" t="s">
        <v>171</v>
      </c>
      <c r="G44" s="178" t="s">
        <v>175</v>
      </c>
      <c r="H44" s="178" t="s">
        <v>174</v>
      </c>
      <c r="I44" s="178" t="s">
        <v>174</v>
      </c>
      <c r="J44" s="178"/>
      <c r="K44" s="178">
        <v>5</v>
      </c>
      <c r="L44" s="180">
        <f t="shared" ref="L44:L50" si="12">((L$40-B44)/D44)</f>
        <v>136.11111111111111</v>
      </c>
      <c r="M44" s="178">
        <v>14</v>
      </c>
      <c r="N44" s="180">
        <f>E44-L44-M44-O44</f>
        <v>67.666666666666657</v>
      </c>
      <c r="O44" s="178">
        <v>35</v>
      </c>
      <c r="P44" s="180">
        <f>L44+M44+N44+O44</f>
        <v>252.77777777777777</v>
      </c>
      <c r="Q44" s="178">
        <v>580</v>
      </c>
      <c r="R44" s="16"/>
    </row>
    <row r="45" spans="1:19" x14ac:dyDescent="0.25">
      <c r="A45" s="178" t="s">
        <v>155</v>
      </c>
      <c r="B45" s="178">
        <v>170.5</v>
      </c>
      <c r="C45" s="178">
        <f t="shared" si="11"/>
        <v>409.5</v>
      </c>
      <c r="D45" s="179">
        <v>1.8</v>
      </c>
      <c r="E45" s="180">
        <f t="shared" ref="E45:E51" si="13">C45/D45</f>
        <v>227.5</v>
      </c>
      <c r="F45" s="178" t="s">
        <v>171</v>
      </c>
      <c r="G45" s="178" t="s">
        <v>175</v>
      </c>
      <c r="H45" s="178" t="s">
        <v>174</v>
      </c>
      <c r="I45" s="178" t="s">
        <v>174</v>
      </c>
      <c r="J45" s="178"/>
      <c r="K45" s="178">
        <v>5</v>
      </c>
      <c r="L45" s="180">
        <f t="shared" si="12"/>
        <v>110.83333333333333</v>
      </c>
      <c r="M45" s="178">
        <v>14</v>
      </c>
      <c r="N45" s="180">
        <f t="shared" ref="N45:N51" si="14">E45-L45-M45-O45</f>
        <v>67.666666666666671</v>
      </c>
      <c r="O45" s="178">
        <v>35</v>
      </c>
      <c r="P45" s="180">
        <f t="shared" ref="P45:P51" si="15">L45+M45+N45+O45</f>
        <v>227.5</v>
      </c>
      <c r="Q45" s="178">
        <v>580</v>
      </c>
      <c r="R45" s="16"/>
    </row>
    <row r="46" spans="1:19" x14ac:dyDescent="0.25">
      <c r="A46" s="178" t="s">
        <v>156</v>
      </c>
      <c r="B46" s="178">
        <v>210.5</v>
      </c>
      <c r="C46" s="178">
        <f t="shared" si="11"/>
        <v>369.5</v>
      </c>
      <c r="D46" s="179">
        <v>1.8</v>
      </c>
      <c r="E46" s="180">
        <f t="shared" si="13"/>
        <v>205.27777777777777</v>
      </c>
      <c r="F46" s="178" t="s">
        <v>171</v>
      </c>
      <c r="G46" s="178" t="s">
        <v>175</v>
      </c>
      <c r="H46" s="178" t="s">
        <v>174</v>
      </c>
      <c r="I46" s="178" t="s">
        <v>174</v>
      </c>
      <c r="J46" s="178"/>
      <c r="K46" s="178">
        <v>5</v>
      </c>
      <c r="L46" s="180">
        <f t="shared" si="12"/>
        <v>88.611111111111114</v>
      </c>
      <c r="M46" s="178">
        <v>14</v>
      </c>
      <c r="N46" s="180">
        <f t="shared" si="14"/>
        <v>67.666666666666657</v>
      </c>
      <c r="O46" s="178">
        <v>35</v>
      </c>
      <c r="P46" s="180">
        <f t="shared" si="15"/>
        <v>205.27777777777777</v>
      </c>
      <c r="Q46" s="178">
        <v>580</v>
      </c>
      <c r="R46" s="16"/>
    </row>
    <row r="47" spans="1:19" x14ac:dyDescent="0.25">
      <c r="A47" s="178" t="s">
        <v>157</v>
      </c>
      <c r="B47" s="178">
        <v>245.5</v>
      </c>
      <c r="C47" s="178">
        <f t="shared" si="11"/>
        <v>334.5</v>
      </c>
      <c r="D47" s="179">
        <v>1.8</v>
      </c>
      <c r="E47" s="180">
        <f t="shared" si="13"/>
        <v>185.83333333333334</v>
      </c>
      <c r="F47" s="178" t="s">
        <v>171</v>
      </c>
      <c r="G47" s="178" t="s">
        <v>175</v>
      </c>
      <c r="H47" s="178" t="s">
        <v>174</v>
      </c>
      <c r="I47" s="178" t="s">
        <v>174</v>
      </c>
      <c r="J47" s="178"/>
      <c r="K47" s="178">
        <v>5</v>
      </c>
      <c r="L47" s="180">
        <f t="shared" si="12"/>
        <v>69.166666666666671</v>
      </c>
      <c r="M47" s="178">
        <v>14</v>
      </c>
      <c r="N47" s="180">
        <f t="shared" si="14"/>
        <v>67.666666666666671</v>
      </c>
      <c r="O47" s="178">
        <v>35</v>
      </c>
      <c r="P47" s="180">
        <f t="shared" si="15"/>
        <v>185.83333333333334</v>
      </c>
      <c r="Q47" s="178">
        <v>580</v>
      </c>
      <c r="R47" s="16"/>
    </row>
    <row r="48" spans="1:19" x14ac:dyDescent="0.25">
      <c r="A48" s="178" t="s">
        <v>158</v>
      </c>
      <c r="B48" s="178">
        <v>280.5</v>
      </c>
      <c r="C48" s="178">
        <f t="shared" si="11"/>
        <v>299.5</v>
      </c>
      <c r="D48" s="179">
        <v>1.8</v>
      </c>
      <c r="E48" s="180">
        <f t="shared" si="13"/>
        <v>166.38888888888889</v>
      </c>
      <c r="F48" s="178" t="s">
        <v>171</v>
      </c>
      <c r="G48" s="178" t="s">
        <v>175</v>
      </c>
      <c r="H48" s="178" t="s">
        <v>174</v>
      </c>
      <c r="I48" s="178" t="s">
        <v>174</v>
      </c>
      <c r="J48" s="178"/>
      <c r="K48" s="178">
        <v>5</v>
      </c>
      <c r="L48" s="180">
        <f t="shared" si="12"/>
        <v>49.722222222222221</v>
      </c>
      <c r="M48" s="178">
        <v>14</v>
      </c>
      <c r="N48" s="180">
        <f t="shared" si="14"/>
        <v>67.666666666666657</v>
      </c>
      <c r="O48" s="178">
        <v>35</v>
      </c>
      <c r="P48" s="180">
        <f t="shared" si="15"/>
        <v>166.38888888888889</v>
      </c>
      <c r="Q48" s="178">
        <v>580</v>
      </c>
      <c r="R48" s="16"/>
    </row>
    <row r="49" spans="1:18" x14ac:dyDescent="0.25">
      <c r="A49" s="178" t="s">
        <v>7</v>
      </c>
      <c r="B49" s="178">
        <v>315.5</v>
      </c>
      <c r="C49" s="178">
        <f t="shared" si="11"/>
        <v>264.5</v>
      </c>
      <c r="D49" s="179">
        <v>1.8</v>
      </c>
      <c r="E49" s="180">
        <f t="shared" si="13"/>
        <v>146.94444444444443</v>
      </c>
      <c r="F49" s="178" t="s">
        <v>356</v>
      </c>
      <c r="G49" s="192" t="s">
        <v>178</v>
      </c>
      <c r="H49" s="192" t="s">
        <v>178</v>
      </c>
      <c r="I49" s="178" t="s">
        <v>178</v>
      </c>
      <c r="J49" s="178"/>
      <c r="K49" s="178">
        <v>5</v>
      </c>
      <c r="L49" s="180">
        <f t="shared" si="12"/>
        <v>30.277777777777779</v>
      </c>
      <c r="M49" s="178">
        <v>14</v>
      </c>
      <c r="N49" s="180">
        <f t="shared" si="14"/>
        <v>67.666666666666657</v>
      </c>
      <c r="O49" s="178">
        <v>35</v>
      </c>
      <c r="P49" s="180">
        <f t="shared" si="15"/>
        <v>146.94444444444443</v>
      </c>
      <c r="Q49" s="178">
        <v>580</v>
      </c>
      <c r="R49" s="16"/>
    </row>
    <row r="50" spans="1:18" x14ac:dyDescent="0.25">
      <c r="A50" s="178" t="s">
        <v>8</v>
      </c>
      <c r="B50" s="178">
        <v>345.5</v>
      </c>
      <c r="C50" s="178">
        <f t="shared" si="11"/>
        <v>234.5</v>
      </c>
      <c r="D50" s="179">
        <v>1.8</v>
      </c>
      <c r="E50" s="180">
        <f t="shared" si="13"/>
        <v>130.27777777777777</v>
      </c>
      <c r="F50" s="178" t="s">
        <v>356</v>
      </c>
      <c r="G50" s="192" t="s">
        <v>178</v>
      </c>
      <c r="H50" s="192" t="s">
        <v>178</v>
      </c>
      <c r="I50" s="178" t="s">
        <v>178</v>
      </c>
      <c r="J50" s="178"/>
      <c r="K50" s="178">
        <v>5</v>
      </c>
      <c r="L50" s="180">
        <f t="shared" si="12"/>
        <v>13.611111111111111</v>
      </c>
      <c r="M50" s="178">
        <v>14</v>
      </c>
      <c r="N50" s="180">
        <f t="shared" si="14"/>
        <v>67.666666666666657</v>
      </c>
      <c r="O50" s="178">
        <v>35</v>
      </c>
      <c r="P50" s="180">
        <f t="shared" si="15"/>
        <v>130.27777777777777</v>
      </c>
      <c r="Q50" s="178">
        <v>580</v>
      </c>
      <c r="R50" s="16"/>
    </row>
    <row r="51" spans="1:18" x14ac:dyDescent="0.25">
      <c r="A51" s="178" t="s">
        <v>93</v>
      </c>
      <c r="B51" s="178">
        <v>375.5</v>
      </c>
      <c r="C51" s="178">
        <f t="shared" si="11"/>
        <v>204.5</v>
      </c>
      <c r="D51" s="179">
        <v>1.8</v>
      </c>
      <c r="E51" s="180">
        <f t="shared" si="13"/>
        <v>113.61111111111111</v>
      </c>
      <c r="F51" s="178" t="s">
        <v>356</v>
      </c>
      <c r="G51" s="192" t="s">
        <v>178</v>
      </c>
      <c r="H51" s="192" t="s">
        <v>178</v>
      </c>
      <c r="I51" s="178" t="s">
        <v>178</v>
      </c>
      <c r="J51" s="178"/>
      <c r="K51" s="178">
        <v>5</v>
      </c>
      <c r="L51" s="180">
        <v>5</v>
      </c>
      <c r="M51" s="178">
        <v>14</v>
      </c>
      <c r="N51" s="180">
        <f t="shared" si="14"/>
        <v>59.611111111111114</v>
      </c>
      <c r="O51" s="178">
        <v>35</v>
      </c>
      <c r="P51" s="180">
        <f t="shared" si="15"/>
        <v>113.61111111111111</v>
      </c>
      <c r="Q51" s="178">
        <v>580</v>
      </c>
      <c r="R51" s="16"/>
    </row>
    <row r="52" spans="1:18" x14ac:dyDescent="0.25">
      <c r="A52" s="178" t="s">
        <v>94</v>
      </c>
      <c r="B52" s="178">
        <v>405.5</v>
      </c>
      <c r="C52" s="178">
        <f t="shared" si="11"/>
        <v>174.5</v>
      </c>
      <c r="D52" s="179">
        <v>1.8</v>
      </c>
      <c r="E52" s="180">
        <v>80</v>
      </c>
      <c r="F52" s="178" t="s">
        <v>173</v>
      </c>
      <c r="G52" s="192" t="s">
        <v>178</v>
      </c>
      <c r="H52" s="192" t="s">
        <v>178</v>
      </c>
      <c r="I52" s="178" t="s">
        <v>178</v>
      </c>
      <c r="J52" s="178"/>
      <c r="K52" s="178">
        <v>0</v>
      </c>
      <c r="L52" s="180">
        <v>0</v>
      </c>
      <c r="M52" s="178">
        <v>14</v>
      </c>
      <c r="N52" s="180">
        <v>35</v>
      </c>
      <c r="O52" s="178">
        <v>35</v>
      </c>
      <c r="P52" s="180">
        <f>K52+L52+M52+N52+O52</f>
        <v>84</v>
      </c>
      <c r="Q52" s="178">
        <v>580</v>
      </c>
      <c r="R52" s="16"/>
    </row>
    <row r="53" spans="1:18" x14ac:dyDescent="0.25">
      <c r="A53" s="178" t="s">
        <v>95</v>
      </c>
      <c r="B53" s="178">
        <v>435.5</v>
      </c>
      <c r="C53" s="178">
        <f t="shared" si="11"/>
        <v>144.5</v>
      </c>
      <c r="D53" s="179">
        <v>1.8</v>
      </c>
      <c r="E53" s="180">
        <v>80</v>
      </c>
      <c r="F53" s="178" t="s">
        <v>173</v>
      </c>
      <c r="G53" s="192" t="s">
        <v>178</v>
      </c>
      <c r="H53" s="192" t="s">
        <v>178</v>
      </c>
      <c r="I53" s="178" t="s">
        <v>178</v>
      </c>
      <c r="J53" s="178"/>
      <c r="K53" s="178">
        <v>0</v>
      </c>
      <c r="L53" s="180">
        <v>0</v>
      </c>
      <c r="M53" s="178">
        <v>14</v>
      </c>
      <c r="N53" s="180">
        <v>35</v>
      </c>
      <c r="O53" s="178">
        <v>35</v>
      </c>
      <c r="P53" s="180">
        <f t="shared" ref="P53:P56" si="16">K53+L53+M53+N53+O53</f>
        <v>84</v>
      </c>
      <c r="Q53" s="178">
        <v>580</v>
      </c>
      <c r="R53" s="16"/>
    </row>
    <row r="54" spans="1:18" x14ac:dyDescent="0.25">
      <c r="A54" s="178" t="s">
        <v>159</v>
      </c>
      <c r="B54" s="178">
        <v>465.5</v>
      </c>
      <c r="C54" s="178">
        <f t="shared" si="11"/>
        <v>114.5</v>
      </c>
      <c r="D54" s="179">
        <v>1.8</v>
      </c>
      <c r="E54" s="180">
        <v>80</v>
      </c>
      <c r="F54" s="178" t="s">
        <v>173</v>
      </c>
      <c r="G54" s="192" t="s">
        <v>178</v>
      </c>
      <c r="H54" s="192" t="s">
        <v>178</v>
      </c>
      <c r="I54" s="178" t="s">
        <v>178</v>
      </c>
      <c r="J54" s="178"/>
      <c r="K54" s="178">
        <v>0</v>
      </c>
      <c r="L54" s="180">
        <v>0</v>
      </c>
      <c r="M54" s="178">
        <v>14</v>
      </c>
      <c r="N54" s="180">
        <v>35</v>
      </c>
      <c r="O54" s="178">
        <v>35</v>
      </c>
      <c r="P54" s="180">
        <f t="shared" si="16"/>
        <v>84</v>
      </c>
      <c r="Q54" s="178">
        <v>580</v>
      </c>
      <c r="R54" s="16"/>
    </row>
    <row r="55" spans="1:18" x14ac:dyDescent="0.25">
      <c r="A55" s="178" t="s">
        <v>160</v>
      </c>
      <c r="B55" s="178">
        <v>495.5</v>
      </c>
      <c r="C55" s="178">
        <f t="shared" si="11"/>
        <v>84.5</v>
      </c>
      <c r="D55" s="179">
        <v>1.8</v>
      </c>
      <c r="E55" s="180">
        <v>80</v>
      </c>
      <c r="F55" s="178" t="s">
        <v>173</v>
      </c>
      <c r="G55" s="192" t="s">
        <v>178</v>
      </c>
      <c r="H55" s="192" t="s">
        <v>178</v>
      </c>
      <c r="I55" s="178" t="s">
        <v>178</v>
      </c>
      <c r="J55" s="178"/>
      <c r="K55" s="178">
        <v>0</v>
      </c>
      <c r="L55" s="180">
        <v>0</v>
      </c>
      <c r="M55" s="178">
        <v>14</v>
      </c>
      <c r="N55" s="180">
        <v>35</v>
      </c>
      <c r="O55" s="178">
        <v>35</v>
      </c>
      <c r="P55" s="180">
        <f t="shared" si="16"/>
        <v>84</v>
      </c>
      <c r="Q55" s="178">
        <v>580</v>
      </c>
      <c r="R55" s="16"/>
    </row>
    <row r="56" spans="1:18" x14ac:dyDescent="0.25">
      <c r="A56" s="178" t="s">
        <v>161</v>
      </c>
      <c r="B56" s="178">
        <v>511</v>
      </c>
      <c r="C56" s="178">
        <f t="shared" si="11"/>
        <v>69</v>
      </c>
      <c r="D56" s="179">
        <v>1.8</v>
      </c>
      <c r="E56" s="180">
        <v>80</v>
      </c>
      <c r="F56" s="178" t="s">
        <v>173</v>
      </c>
      <c r="G56" s="192" t="s">
        <v>178</v>
      </c>
      <c r="H56" s="192" t="s">
        <v>178</v>
      </c>
      <c r="I56" s="178" t="s">
        <v>178</v>
      </c>
      <c r="J56" s="178"/>
      <c r="K56" s="178">
        <v>0</v>
      </c>
      <c r="L56" s="180">
        <v>0</v>
      </c>
      <c r="M56" s="178">
        <v>14</v>
      </c>
      <c r="N56" s="180">
        <v>35</v>
      </c>
      <c r="O56" s="178">
        <v>35</v>
      </c>
      <c r="P56" s="180">
        <f t="shared" si="16"/>
        <v>84</v>
      </c>
      <c r="Q56" s="178">
        <v>580</v>
      </c>
      <c r="R56" s="16"/>
    </row>
    <row r="57" spans="1:18" x14ac:dyDescent="0.25">
      <c r="A57" s="185"/>
      <c r="B57" s="185"/>
      <c r="C57" s="185"/>
      <c r="D57" s="185"/>
      <c r="E57" s="185"/>
      <c r="F57" s="185"/>
      <c r="G57" s="185"/>
      <c r="H57" s="185"/>
      <c r="I57" s="185"/>
      <c r="J57" s="185"/>
      <c r="K57" s="185"/>
      <c r="L57" s="185"/>
      <c r="M57" s="185"/>
      <c r="N57" s="185"/>
      <c r="O57" s="185"/>
      <c r="P57" s="185"/>
      <c r="Q57" s="185"/>
    </row>
    <row r="58" spans="1:18" x14ac:dyDescent="0.25">
      <c r="A58" s="185"/>
      <c r="B58" s="185"/>
      <c r="C58" s="185"/>
      <c r="D58" s="185"/>
      <c r="E58" s="185"/>
      <c r="F58" s="185"/>
      <c r="G58" s="185"/>
      <c r="H58" s="185"/>
      <c r="I58" s="185"/>
      <c r="J58" s="185"/>
      <c r="K58" s="185"/>
      <c r="L58" s="185"/>
      <c r="M58" s="185"/>
      <c r="N58" s="185"/>
      <c r="O58" s="185"/>
      <c r="P58" s="185"/>
      <c r="Q58" s="185"/>
    </row>
    <row r="59" spans="1:18" x14ac:dyDescent="0.25">
      <c r="A59" s="185"/>
      <c r="B59" s="185"/>
      <c r="C59" s="185"/>
      <c r="D59" s="185"/>
      <c r="E59" s="185"/>
      <c r="F59" s="185"/>
      <c r="G59" s="185"/>
      <c r="H59" s="185"/>
      <c r="I59" s="185"/>
      <c r="J59" s="185"/>
      <c r="K59" s="185"/>
      <c r="L59" s="197">
        <v>320</v>
      </c>
      <c r="M59" s="185"/>
      <c r="N59" s="185"/>
      <c r="O59" s="185"/>
      <c r="P59" s="185"/>
      <c r="Q59" s="185"/>
    </row>
    <row r="60" spans="1:18" x14ac:dyDescent="0.25">
      <c r="A60" s="198" t="s">
        <v>360</v>
      </c>
      <c r="B60" s="198"/>
      <c r="C60" s="198"/>
      <c r="D60" s="198"/>
      <c r="E60" s="198"/>
      <c r="F60" s="198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</row>
    <row r="61" spans="1:18" x14ac:dyDescent="0.25">
      <c r="A61" s="169" t="s">
        <v>135</v>
      </c>
      <c r="B61" s="169"/>
      <c r="C61" s="169"/>
      <c r="D61" s="169"/>
      <c r="E61" s="169"/>
      <c r="F61" s="169" t="s">
        <v>30</v>
      </c>
      <c r="G61" s="169"/>
      <c r="H61" s="169"/>
      <c r="I61" s="169"/>
      <c r="J61" s="170"/>
      <c r="K61" s="171" t="s">
        <v>137</v>
      </c>
      <c r="L61" s="172"/>
      <c r="M61" s="172"/>
      <c r="N61" s="172"/>
      <c r="O61" s="172"/>
      <c r="P61" s="173"/>
      <c r="Q61" s="174" t="s">
        <v>134</v>
      </c>
    </row>
    <row r="62" spans="1:18" ht="24" x14ac:dyDescent="0.25">
      <c r="A62" s="175" t="s">
        <v>31</v>
      </c>
      <c r="B62" s="175" t="s">
        <v>169</v>
      </c>
      <c r="C62" s="175" t="s">
        <v>170</v>
      </c>
      <c r="D62" s="175" t="s">
        <v>34</v>
      </c>
      <c r="E62" s="175" t="s">
        <v>165</v>
      </c>
      <c r="F62" s="175" t="s">
        <v>13</v>
      </c>
      <c r="G62" s="175" t="s">
        <v>129</v>
      </c>
      <c r="H62" s="175" t="s">
        <v>14</v>
      </c>
      <c r="I62" s="175" t="s">
        <v>15</v>
      </c>
      <c r="J62" s="175"/>
      <c r="K62" s="175" t="s">
        <v>126</v>
      </c>
      <c r="L62" s="175" t="s">
        <v>167</v>
      </c>
      <c r="M62" s="175" t="s">
        <v>168</v>
      </c>
      <c r="N62" s="175" t="s">
        <v>166</v>
      </c>
      <c r="O62" s="175" t="s">
        <v>32</v>
      </c>
      <c r="P62" s="175" t="s">
        <v>33</v>
      </c>
      <c r="Q62" s="176"/>
    </row>
    <row r="63" spans="1:18" x14ac:dyDescent="0.25">
      <c r="A63" s="178" t="s">
        <v>7</v>
      </c>
      <c r="B63" s="178">
        <v>315.5</v>
      </c>
      <c r="C63" s="178">
        <f t="shared" ref="C63:C70" si="17">Q63-B63</f>
        <v>244.5</v>
      </c>
      <c r="D63" s="179">
        <v>1.5</v>
      </c>
      <c r="E63" s="180">
        <f t="shared" ref="E63:E65" si="18">C63/D63</f>
        <v>163</v>
      </c>
      <c r="F63" s="178" t="s">
        <v>361</v>
      </c>
      <c r="G63" s="178" t="s">
        <v>356</v>
      </c>
      <c r="H63" s="192" t="s">
        <v>178</v>
      </c>
      <c r="I63" s="178" t="s">
        <v>178</v>
      </c>
      <c r="J63" s="178"/>
      <c r="K63" s="178">
        <v>5</v>
      </c>
      <c r="L63" s="180">
        <f t="shared" ref="L63:L64" si="19">((L$40-B63)/D63)</f>
        <v>36.333333333333336</v>
      </c>
      <c r="M63" s="178">
        <v>14</v>
      </c>
      <c r="N63" s="180">
        <f t="shared" ref="N63:N65" si="20">E63-L63-M63-O63</f>
        <v>77.666666666666657</v>
      </c>
      <c r="O63" s="178">
        <v>35</v>
      </c>
      <c r="P63" s="180">
        <f t="shared" ref="P63:P65" si="21">L63+M63+N63+O63</f>
        <v>163</v>
      </c>
      <c r="Q63" s="178">
        <v>560</v>
      </c>
    </row>
    <row r="64" spans="1:18" x14ac:dyDescent="0.25">
      <c r="A64" s="178" t="s">
        <v>8</v>
      </c>
      <c r="B64" s="178">
        <v>345.5</v>
      </c>
      <c r="C64" s="178">
        <f t="shared" si="17"/>
        <v>214.5</v>
      </c>
      <c r="D64" s="179">
        <v>1.55</v>
      </c>
      <c r="E64" s="180">
        <f t="shared" si="18"/>
        <v>138.38709677419354</v>
      </c>
      <c r="F64" s="178" t="s">
        <v>356</v>
      </c>
      <c r="G64" s="192" t="s">
        <v>178</v>
      </c>
      <c r="H64" s="192" t="s">
        <v>178</v>
      </c>
      <c r="I64" s="178" t="s">
        <v>178</v>
      </c>
      <c r="J64" s="178"/>
      <c r="K64" s="178">
        <v>5</v>
      </c>
      <c r="L64" s="180">
        <f t="shared" si="19"/>
        <v>15.806451612903226</v>
      </c>
      <c r="M64" s="178">
        <v>14</v>
      </c>
      <c r="N64" s="180">
        <f t="shared" si="20"/>
        <v>73.580645161290306</v>
      </c>
      <c r="O64" s="178">
        <v>35</v>
      </c>
      <c r="P64" s="180">
        <f t="shared" si="21"/>
        <v>138.38709677419354</v>
      </c>
      <c r="Q64" s="178">
        <v>560</v>
      </c>
    </row>
    <row r="65" spans="1:17" x14ac:dyDescent="0.25">
      <c r="A65" s="178" t="s">
        <v>93</v>
      </c>
      <c r="B65" s="178">
        <v>375.5</v>
      </c>
      <c r="C65" s="178">
        <f t="shared" si="17"/>
        <v>184.5</v>
      </c>
      <c r="D65" s="179">
        <v>1.55</v>
      </c>
      <c r="E65" s="180">
        <f t="shared" si="18"/>
        <v>119.03225806451613</v>
      </c>
      <c r="F65" s="178" t="s">
        <v>356</v>
      </c>
      <c r="G65" s="192" t="s">
        <v>178</v>
      </c>
      <c r="H65" s="192" t="s">
        <v>178</v>
      </c>
      <c r="I65" s="178" t="s">
        <v>178</v>
      </c>
      <c r="J65" s="178"/>
      <c r="K65" s="178">
        <v>5</v>
      </c>
      <c r="L65" s="180">
        <v>5</v>
      </c>
      <c r="M65" s="178">
        <v>14</v>
      </c>
      <c r="N65" s="180">
        <f t="shared" si="20"/>
        <v>65.032258064516128</v>
      </c>
      <c r="O65" s="178">
        <v>35</v>
      </c>
      <c r="P65" s="180">
        <f t="shared" si="21"/>
        <v>119.03225806451613</v>
      </c>
      <c r="Q65" s="178">
        <v>560</v>
      </c>
    </row>
    <row r="66" spans="1:17" x14ac:dyDescent="0.25">
      <c r="A66" s="178" t="s">
        <v>94</v>
      </c>
      <c r="B66" s="178">
        <v>405.5</v>
      </c>
      <c r="C66" s="178">
        <f t="shared" si="17"/>
        <v>154.5</v>
      </c>
      <c r="D66" s="179">
        <v>1.6</v>
      </c>
      <c r="E66" s="180">
        <v>84</v>
      </c>
      <c r="F66" s="178" t="s">
        <v>173</v>
      </c>
      <c r="G66" s="192" t="s">
        <v>178</v>
      </c>
      <c r="H66" s="192" t="s">
        <v>178</v>
      </c>
      <c r="I66" s="178" t="s">
        <v>178</v>
      </c>
      <c r="J66" s="178"/>
      <c r="K66" s="178">
        <v>0</v>
      </c>
      <c r="L66" s="180">
        <v>0</v>
      </c>
      <c r="M66" s="178">
        <v>14</v>
      </c>
      <c r="N66" s="180">
        <v>35</v>
      </c>
      <c r="O66" s="178">
        <v>35</v>
      </c>
      <c r="P66" s="180">
        <f>K66+L66+M66+N66+O66</f>
        <v>84</v>
      </c>
      <c r="Q66" s="178">
        <v>560</v>
      </c>
    </row>
    <row r="67" spans="1:17" x14ac:dyDescent="0.25">
      <c r="A67" s="178" t="s">
        <v>95</v>
      </c>
      <c r="B67" s="178">
        <v>435.5</v>
      </c>
      <c r="C67" s="178">
        <f t="shared" si="17"/>
        <v>124.5</v>
      </c>
      <c r="D67" s="179">
        <v>1.6</v>
      </c>
      <c r="E67" s="180">
        <v>84</v>
      </c>
      <c r="F67" s="178" t="s">
        <v>173</v>
      </c>
      <c r="G67" s="192" t="s">
        <v>178</v>
      </c>
      <c r="H67" s="192" t="s">
        <v>178</v>
      </c>
      <c r="I67" s="178" t="s">
        <v>178</v>
      </c>
      <c r="J67" s="178"/>
      <c r="K67" s="178">
        <v>0</v>
      </c>
      <c r="L67" s="180">
        <v>0</v>
      </c>
      <c r="M67" s="178">
        <v>14</v>
      </c>
      <c r="N67" s="180">
        <v>35</v>
      </c>
      <c r="O67" s="178">
        <v>35</v>
      </c>
      <c r="P67" s="180">
        <f t="shared" ref="P67:P70" si="22">K67+L67+M67+N67+O67</f>
        <v>84</v>
      </c>
      <c r="Q67" s="178">
        <v>560</v>
      </c>
    </row>
    <row r="68" spans="1:17" x14ac:dyDescent="0.25">
      <c r="A68" s="178" t="s">
        <v>159</v>
      </c>
      <c r="B68" s="178">
        <v>465.5</v>
      </c>
      <c r="C68" s="178">
        <f t="shared" si="17"/>
        <v>94.5</v>
      </c>
      <c r="D68" s="179">
        <v>1.6</v>
      </c>
      <c r="E68" s="180">
        <v>84</v>
      </c>
      <c r="F68" s="178" t="s">
        <v>173</v>
      </c>
      <c r="G68" s="192" t="s">
        <v>178</v>
      </c>
      <c r="H68" s="192" t="s">
        <v>178</v>
      </c>
      <c r="I68" s="178" t="s">
        <v>178</v>
      </c>
      <c r="J68" s="178"/>
      <c r="K68" s="178">
        <v>0</v>
      </c>
      <c r="L68" s="180">
        <v>0</v>
      </c>
      <c r="M68" s="178">
        <v>14</v>
      </c>
      <c r="N68" s="180">
        <v>35</v>
      </c>
      <c r="O68" s="178">
        <v>35</v>
      </c>
      <c r="P68" s="180">
        <f t="shared" si="22"/>
        <v>84</v>
      </c>
      <c r="Q68" s="178">
        <v>560</v>
      </c>
    </row>
    <row r="69" spans="1:17" x14ac:dyDescent="0.25">
      <c r="A69" s="178" t="s">
        <v>160</v>
      </c>
      <c r="B69" s="178">
        <v>495.5</v>
      </c>
      <c r="C69" s="178">
        <f t="shared" si="17"/>
        <v>64.5</v>
      </c>
      <c r="D69" s="179">
        <v>1.6</v>
      </c>
      <c r="E69" s="180">
        <v>84</v>
      </c>
      <c r="F69" s="178" t="s">
        <v>173</v>
      </c>
      <c r="G69" s="192" t="s">
        <v>178</v>
      </c>
      <c r="H69" s="192" t="s">
        <v>178</v>
      </c>
      <c r="I69" s="178" t="s">
        <v>178</v>
      </c>
      <c r="J69" s="178"/>
      <c r="K69" s="178">
        <v>0</v>
      </c>
      <c r="L69" s="180">
        <v>0</v>
      </c>
      <c r="M69" s="178">
        <v>14</v>
      </c>
      <c r="N69" s="180">
        <v>35</v>
      </c>
      <c r="O69" s="178">
        <v>35</v>
      </c>
      <c r="P69" s="180">
        <f t="shared" si="22"/>
        <v>84</v>
      </c>
      <c r="Q69" s="178">
        <v>560</v>
      </c>
    </row>
    <row r="70" spans="1:17" x14ac:dyDescent="0.25">
      <c r="A70" s="178" t="s">
        <v>161</v>
      </c>
      <c r="B70" s="178">
        <v>511</v>
      </c>
      <c r="C70" s="178">
        <f t="shared" si="17"/>
        <v>49</v>
      </c>
      <c r="D70" s="179">
        <v>1.6</v>
      </c>
      <c r="E70" s="180">
        <v>84</v>
      </c>
      <c r="F70" s="178" t="s">
        <v>173</v>
      </c>
      <c r="G70" s="192" t="s">
        <v>178</v>
      </c>
      <c r="H70" s="192" t="s">
        <v>178</v>
      </c>
      <c r="I70" s="178" t="s">
        <v>178</v>
      </c>
      <c r="J70" s="178"/>
      <c r="K70" s="178">
        <v>0</v>
      </c>
      <c r="L70" s="180">
        <v>0</v>
      </c>
      <c r="M70" s="178">
        <v>14</v>
      </c>
      <c r="N70" s="180">
        <v>35</v>
      </c>
      <c r="O70" s="178">
        <v>35</v>
      </c>
      <c r="P70" s="180">
        <f t="shared" si="22"/>
        <v>84</v>
      </c>
      <c r="Q70" s="178">
        <v>560</v>
      </c>
    </row>
    <row r="71" spans="1:17" x14ac:dyDescent="0.25">
      <c r="A71" s="185"/>
      <c r="B71" s="185"/>
      <c r="C71" s="185"/>
      <c r="D71" s="185"/>
      <c r="E71" s="185"/>
      <c r="F71" s="185"/>
      <c r="G71" s="185"/>
      <c r="H71" s="185"/>
      <c r="I71" s="185"/>
      <c r="J71" s="185"/>
      <c r="K71" s="185"/>
      <c r="L71" s="185"/>
      <c r="M71" s="185"/>
      <c r="N71" s="185"/>
      <c r="O71" s="185"/>
      <c r="P71" s="185"/>
      <c r="Q71" s="185"/>
    </row>
    <row r="72" spans="1:17" x14ac:dyDescent="0.25">
      <c r="A72" s="185"/>
      <c r="B72" s="185"/>
      <c r="C72" s="185"/>
      <c r="D72" s="185"/>
      <c r="E72" s="185"/>
      <c r="F72" s="185"/>
      <c r="G72" s="185"/>
      <c r="H72" s="185"/>
      <c r="I72" s="185"/>
      <c r="J72" s="185"/>
      <c r="K72" s="185"/>
      <c r="L72" s="185"/>
      <c r="M72" s="185"/>
      <c r="N72" s="185"/>
      <c r="O72" s="185"/>
      <c r="P72" s="185"/>
      <c r="Q72" s="185"/>
    </row>
    <row r="73" spans="1:17" x14ac:dyDescent="0.25">
      <c r="A73" s="199" t="s">
        <v>145</v>
      </c>
      <c r="B73" s="199"/>
      <c r="C73" s="199"/>
      <c r="D73" s="199"/>
      <c r="E73" s="199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185"/>
    </row>
    <row r="74" spans="1:17" x14ac:dyDescent="0.25">
      <c r="A74" s="171" t="s">
        <v>135</v>
      </c>
      <c r="B74" s="172"/>
      <c r="C74" s="172"/>
      <c r="D74" s="172"/>
      <c r="E74" s="173"/>
      <c r="F74" s="171" t="s">
        <v>30</v>
      </c>
      <c r="G74" s="172"/>
      <c r="H74" s="172"/>
      <c r="I74" s="173"/>
      <c r="J74" s="200"/>
      <c r="K74" s="201"/>
      <c r="L74" s="169" t="s">
        <v>137</v>
      </c>
      <c r="M74" s="169"/>
      <c r="N74" s="169"/>
      <c r="O74" s="169"/>
      <c r="P74" s="169"/>
      <c r="Q74" s="185"/>
    </row>
    <row r="75" spans="1:17" ht="24" x14ac:dyDescent="0.25">
      <c r="A75" s="202" t="s">
        <v>31</v>
      </c>
      <c r="B75" s="203"/>
      <c r="C75" s="204"/>
      <c r="D75" s="175" t="s">
        <v>34</v>
      </c>
      <c r="E75" s="175" t="s">
        <v>165</v>
      </c>
      <c r="F75" s="175" t="s">
        <v>13</v>
      </c>
      <c r="G75" s="175" t="s">
        <v>129</v>
      </c>
      <c r="H75" s="175" t="s">
        <v>14</v>
      </c>
      <c r="I75" s="175" t="s">
        <v>15</v>
      </c>
      <c r="J75" s="175"/>
      <c r="K75" s="175" t="s">
        <v>126</v>
      </c>
      <c r="L75" s="175" t="s">
        <v>167</v>
      </c>
      <c r="M75" s="175" t="s">
        <v>168</v>
      </c>
      <c r="N75" s="175" t="s">
        <v>166</v>
      </c>
      <c r="O75" s="175" t="s">
        <v>32</v>
      </c>
      <c r="P75" s="175" t="s">
        <v>33</v>
      </c>
      <c r="Q75" s="185"/>
    </row>
    <row r="76" spans="1:17" x14ac:dyDescent="0.25">
      <c r="A76" s="205" t="s">
        <v>176</v>
      </c>
      <c r="B76" s="206"/>
      <c r="C76" s="207"/>
      <c r="D76" s="179">
        <v>1.6</v>
      </c>
      <c r="E76" s="180">
        <v>90</v>
      </c>
      <c r="F76" s="178" t="s">
        <v>173</v>
      </c>
      <c r="G76" s="178" t="s">
        <v>178</v>
      </c>
      <c r="H76" s="178" t="s">
        <v>178</v>
      </c>
      <c r="I76" s="178" t="s">
        <v>178</v>
      </c>
      <c r="J76" s="178"/>
      <c r="K76" s="178"/>
      <c r="L76" s="178"/>
      <c r="M76" s="178">
        <v>14</v>
      </c>
      <c r="N76" s="180">
        <v>36</v>
      </c>
      <c r="O76" s="178">
        <v>35</v>
      </c>
      <c r="P76" s="180">
        <f>SUM(M76:O76)</f>
        <v>85</v>
      </c>
      <c r="Q76" s="185"/>
    </row>
    <row r="77" spans="1:17" x14ac:dyDescent="0.25">
      <c r="A77" s="205" t="s">
        <v>177</v>
      </c>
      <c r="B77" s="206"/>
      <c r="C77" s="207"/>
      <c r="D77" s="179">
        <v>1.7</v>
      </c>
      <c r="E77" s="180">
        <v>90</v>
      </c>
      <c r="F77" s="178" t="s">
        <v>173</v>
      </c>
      <c r="G77" s="178" t="s">
        <v>178</v>
      </c>
      <c r="H77" s="178" t="s">
        <v>178</v>
      </c>
      <c r="I77" s="178" t="s">
        <v>178</v>
      </c>
      <c r="J77" s="178"/>
      <c r="K77" s="178"/>
      <c r="L77" s="178"/>
      <c r="M77" s="178">
        <v>14</v>
      </c>
      <c r="N77" s="180">
        <v>36</v>
      </c>
      <c r="O77" s="178">
        <v>35</v>
      </c>
      <c r="P77" s="180">
        <f>SUM(M77:O77)</f>
        <v>85</v>
      </c>
      <c r="Q77" s="185"/>
    </row>
  </sheetData>
  <mergeCells count="28">
    <mergeCell ref="A1:Q1"/>
    <mergeCell ref="A4:Q4"/>
    <mergeCell ref="A5:E5"/>
    <mergeCell ref="Q5:Q6"/>
    <mergeCell ref="A22:Q22"/>
    <mergeCell ref="F5:I5"/>
    <mergeCell ref="K5:P5"/>
    <mergeCell ref="Q23:Q24"/>
    <mergeCell ref="A76:C76"/>
    <mergeCell ref="A77:C77"/>
    <mergeCell ref="K23:P23"/>
    <mergeCell ref="A73:P73"/>
    <mergeCell ref="A74:E74"/>
    <mergeCell ref="F74:I74"/>
    <mergeCell ref="L74:P74"/>
    <mergeCell ref="A75:C75"/>
    <mergeCell ref="A23:E23"/>
    <mergeCell ref="F23:I23"/>
    <mergeCell ref="A41:Q41"/>
    <mergeCell ref="A42:E42"/>
    <mergeCell ref="F42:I42"/>
    <mergeCell ref="K42:P42"/>
    <mergeCell ref="Q42:Q43"/>
    <mergeCell ref="A60:Q60"/>
    <mergeCell ref="A61:E61"/>
    <mergeCell ref="F61:I61"/>
    <mergeCell ref="K61:P61"/>
    <mergeCell ref="Q61:Q62"/>
  </mergeCells>
  <phoneticPr fontId="2" type="noConversion"/>
  <pageMargins left="0.7" right="0.7" top="0.75" bottom="0.75" header="0.3" footer="0.3"/>
  <pageSetup paperSize="9" scale="37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9EF55-2C00-4C1B-9A78-B07608044F18}">
  <sheetPr>
    <pageSetUpPr fitToPage="1"/>
  </sheetPr>
  <dimension ref="A1:F26"/>
  <sheetViews>
    <sheetView workbookViewId="0">
      <selection activeCell="F15" sqref="F15"/>
    </sheetView>
  </sheetViews>
  <sheetFormatPr baseColWidth="10" defaultColWidth="11.42578125" defaultRowHeight="15" x14ac:dyDescent="0.25"/>
  <cols>
    <col min="1" max="1" width="12" style="1" bestFit="1" customWidth="1"/>
    <col min="2" max="2" width="14.5703125" style="7" customWidth="1"/>
    <col min="3" max="3" width="18.85546875" style="1" bestFit="1" customWidth="1"/>
    <col min="4" max="4" width="17.5703125" style="1" customWidth="1"/>
    <col min="5" max="5" width="11.42578125" style="1"/>
    <col min="6" max="6" width="20.7109375" style="1" bestFit="1" customWidth="1"/>
    <col min="7" max="16384" width="11.42578125" style="1"/>
  </cols>
  <sheetData>
    <row r="1" spans="1:6" x14ac:dyDescent="0.25">
      <c r="A1" s="155" t="s">
        <v>228</v>
      </c>
      <c r="B1" s="155"/>
      <c r="C1" s="155"/>
      <c r="D1" s="155"/>
      <c r="E1" s="155"/>
    </row>
    <row r="2" spans="1:6" x14ac:dyDescent="0.25">
      <c r="A2" s="9" t="s">
        <v>73</v>
      </c>
      <c r="B2" s="9" t="s">
        <v>66</v>
      </c>
      <c r="C2" s="9" t="s">
        <v>1</v>
      </c>
      <c r="D2" s="9" t="s">
        <v>128</v>
      </c>
      <c r="E2" s="9" t="s">
        <v>2</v>
      </c>
    </row>
    <row r="3" spans="1:6" x14ac:dyDescent="0.25">
      <c r="A3" s="154">
        <v>17</v>
      </c>
      <c r="B3" s="13">
        <v>10</v>
      </c>
      <c r="C3" s="3" t="s">
        <v>292</v>
      </c>
      <c r="D3" s="3" t="s">
        <v>6</v>
      </c>
      <c r="E3" s="3">
        <v>33</v>
      </c>
      <c r="F3" s="150" t="s">
        <v>462</v>
      </c>
    </row>
    <row r="4" spans="1:6" x14ac:dyDescent="0.25">
      <c r="A4" s="154"/>
      <c r="B4" s="13">
        <v>15</v>
      </c>
      <c r="C4" s="3"/>
      <c r="D4" s="3" t="s">
        <v>6</v>
      </c>
      <c r="E4" s="3">
        <v>7</v>
      </c>
      <c r="F4" s="150"/>
    </row>
    <row r="6" spans="1:6" x14ac:dyDescent="0.25">
      <c r="A6" s="151">
        <v>18</v>
      </c>
      <c r="B6" s="3">
        <v>13</v>
      </c>
      <c r="C6" s="3" t="s">
        <v>240</v>
      </c>
      <c r="D6" s="3" t="s">
        <v>6</v>
      </c>
      <c r="E6" s="3">
        <v>65</v>
      </c>
    </row>
    <row r="7" spans="1:6" x14ac:dyDescent="0.25">
      <c r="A7" s="152"/>
      <c r="B7" s="13">
        <v>34</v>
      </c>
      <c r="C7" s="3" t="s">
        <v>410</v>
      </c>
      <c r="D7" s="3" t="s">
        <v>6</v>
      </c>
      <c r="E7" s="3">
        <v>12</v>
      </c>
    </row>
    <row r="8" spans="1:6" x14ac:dyDescent="0.25">
      <c r="A8" s="152"/>
      <c r="B8" s="3">
        <v>11</v>
      </c>
      <c r="C8" s="3" t="s">
        <v>216</v>
      </c>
      <c r="D8" s="3" t="s">
        <v>16</v>
      </c>
      <c r="E8" s="3">
        <v>50</v>
      </c>
      <c r="F8" s="1" t="s">
        <v>463</v>
      </c>
    </row>
    <row r="9" spans="1:6" x14ac:dyDescent="0.25">
      <c r="A9" s="152"/>
      <c r="B9" s="3">
        <v>8</v>
      </c>
      <c r="C9" s="3" t="s">
        <v>216</v>
      </c>
      <c r="D9" s="3" t="s">
        <v>16</v>
      </c>
      <c r="E9" s="3">
        <v>12</v>
      </c>
    </row>
    <row r="10" spans="1:6" x14ac:dyDescent="0.25">
      <c r="A10" s="152"/>
      <c r="B10" s="13">
        <v>36</v>
      </c>
      <c r="C10" s="3" t="s">
        <v>409</v>
      </c>
      <c r="D10" s="3" t="s">
        <v>16</v>
      </c>
      <c r="E10" s="3">
        <v>9</v>
      </c>
    </row>
    <row r="11" spans="1:6" x14ac:dyDescent="0.25">
      <c r="A11" s="153"/>
      <c r="B11" s="3">
        <v>110</v>
      </c>
      <c r="C11" s="3" t="s">
        <v>345</v>
      </c>
      <c r="D11" s="3" t="s">
        <v>12</v>
      </c>
      <c r="E11" s="3">
        <v>4</v>
      </c>
    </row>
    <row r="13" spans="1:6" x14ac:dyDescent="0.25">
      <c r="A13" s="151">
        <v>19</v>
      </c>
      <c r="B13" s="13">
        <v>16</v>
      </c>
      <c r="C13" s="3" t="s">
        <v>271</v>
      </c>
      <c r="D13" s="3" t="s">
        <v>6</v>
      </c>
      <c r="E13" s="3">
        <f>12+5+1+3+2</f>
        <v>23</v>
      </c>
    </row>
    <row r="14" spans="1:6" x14ac:dyDescent="0.25">
      <c r="A14" s="152"/>
      <c r="B14" s="3">
        <v>49</v>
      </c>
      <c r="C14" s="3" t="s">
        <v>246</v>
      </c>
      <c r="D14" s="3" t="s">
        <v>6</v>
      </c>
      <c r="E14" s="3">
        <f>39+26</f>
        <v>65</v>
      </c>
    </row>
    <row r="15" spans="1:6" x14ac:dyDescent="0.25">
      <c r="A15" s="152"/>
      <c r="B15" s="3">
        <v>57</v>
      </c>
      <c r="C15" s="3" t="s">
        <v>241</v>
      </c>
      <c r="D15" s="3" t="s">
        <v>6</v>
      </c>
      <c r="E15" s="3">
        <v>65</v>
      </c>
    </row>
    <row r="16" spans="1:6" x14ac:dyDescent="0.25">
      <c r="A16" s="152"/>
      <c r="B16" s="106">
        <v>107</v>
      </c>
      <c r="C16" s="86" t="s">
        <v>334</v>
      </c>
      <c r="D16" s="86" t="s">
        <v>12</v>
      </c>
      <c r="E16" s="86">
        <v>17</v>
      </c>
    </row>
    <row r="17" spans="1:5" x14ac:dyDescent="0.25">
      <c r="A17" s="153"/>
      <c r="B17" s="106">
        <v>108</v>
      </c>
      <c r="C17" s="86" t="s">
        <v>334</v>
      </c>
      <c r="D17" s="86" t="s">
        <v>12</v>
      </c>
      <c r="E17" s="86">
        <v>18</v>
      </c>
    </row>
    <row r="19" spans="1:5" x14ac:dyDescent="0.25">
      <c r="A19" s="154">
        <v>20</v>
      </c>
      <c r="B19" s="3">
        <v>42</v>
      </c>
      <c r="C19" s="3" t="s">
        <v>234</v>
      </c>
      <c r="D19" s="3" t="s">
        <v>6</v>
      </c>
      <c r="E19" s="3">
        <v>65</v>
      </c>
    </row>
    <row r="20" spans="1:5" x14ac:dyDescent="0.25">
      <c r="A20" s="154"/>
      <c r="B20" s="86">
        <v>71</v>
      </c>
      <c r="C20" s="86" t="s">
        <v>384</v>
      </c>
      <c r="D20" s="86" t="s">
        <v>6</v>
      </c>
      <c r="E20" s="86">
        <v>30</v>
      </c>
    </row>
    <row r="22" spans="1:5" x14ac:dyDescent="0.25">
      <c r="A22" s="151">
        <v>21</v>
      </c>
      <c r="B22" s="3">
        <v>14</v>
      </c>
      <c r="C22" s="3" t="s">
        <v>151</v>
      </c>
      <c r="D22" s="3" t="s">
        <v>6</v>
      </c>
      <c r="E22" s="3">
        <v>58</v>
      </c>
    </row>
    <row r="23" spans="1:5" x14ac:dyDescent="0.25">
      <c r="A23" s="152"/>
      <c r="B23" s="3">
        <v>6</v>
      </c>
      <c r="C23" s="3" t="s">
        <v>192</v>
      </c>
      <c r="D23" s="3" t="s">
        <v>16</v>
      </c>
      <c r="E23" s="3">
        <v>67</v>
      </c>
    </row>
    <row r="24" spans="1:5" x14ac:dyDescent="0.25">
      <c r="A24" s="152"/>
      <c r="B24" s="3">
        <v>18</v>
      </c>
      <c r="C24" s="3" t="s">
        <v>369</v>
      </c>
      <c r="D24" s="3" t="s">
        <v>12</v>
      </c>
      <c r="E24" s="3">
        <v>42</v>
      </c>
    </row>
    <row r="25" spans="1:5" x14ac:dyDescent="0.25">
      <c r="A25" s="152"/>
      <c r="B25" s="3">
        <v>51</v>
      </c>
      <c r="C25" s="3" t="s">
        <v>376</v>
      </c>
      <c r="D25" s="3" t="s">
        <v>12</v>
      </c>
      <c r="E25" s="3">
        <v>40</v>
      </c>
    </row>
    <row r="26" spans="1:5" x14ac:dyDescent="0.25">
      <c r="A26" s="153"/>
      <c r="B26" s="3">
        <v>53</v>
      </c>
      <c r="C26" s="14" t="s">
        <v>370</v>
      </c>
      <c r="D26" s="3" t="s">
        <v>12</v>
      </c>
      <c r="E26" s="3">
        <v>39</v>
      </c>
    </row>
  </sheetData>
  <mergeCells count="7">
    <mergeCell ref="F3:F4"/>
    <mergeCell ref="A22:A26"/>
    <mergeCell ref="A19:A20"/>
    <mergeCell ref="A1:E1"/>
    <mergeCell ref="A13:A17"/>
    <mergeCell ref="A6:A11"/>
    <mergeCell ref="A3:A4"/>
  </mergeCells>
  <phoneticPr fontId="2" type="noConversion"/>
  <conditionalFormatting sqref="C11 C6 C8:C9">
    <cfRule type="duplicateValues" dxfId="121" priority="6"/>
  </conditionalFormatting>
  <conditionalFormatting sqref="C13">
    <cfRule type="duplicateValues" dxfId="120" priority="5"/>
  </conditionalFormatting>
  <conditionalFormatting sqref="C14">
    <cfRule type="duplicateValues" dxfId="119" priority="3"/>
  </conditionalFormatting>
  <conditionalFormatting sqref="C15">
    <cfRule type="duplicateValues" dxfId="118" priority="4"/>
  </conditionalFormatting>
  <conditionalFormatting sqref="C19:C20">
    <cfRule type="duplicateValues" dxfId="117" priority="2"/>
  </conditionalFormatting>
  <conditionalFormatting sqref="C22:C26">
    <cfRule type="duplicateValues" dxfId="116" priority="72"/>
  </conditionalFormatting>
  <pageMargins left="0.7" right="0.7" top="0.75" bottom="0.75" header="0.3" footer="0.3"/>
  <pageSetup paperSize="9" fitToHeight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18B74-0B67-43DC-8BD5-6E26B7CFA6A4}">
  <dimension ref="C1:G87"/>
  <sheetViews>
    <sheetView topLeftCell="B1" workbookViewId="0">
      <pane ySplit="1" topLeftCell="A48" activePane="bottomLeft" state="frozen"/>
      <selection pane="bottomLeft" activeCell="G52" sqref="G52"/>
    </sheetView>
  </sheetViews>
  <sheetFormatPr baseColWidth="10" defaultRowHeight="15" x14ac:dyDescent="0.25"/>
  <cols>
    <col min="3" max="3" width="14.140625" customWidth="1"/>
    <col min="4" max="4" width="15.28515625" customWidth="1"/>
    <col min="5" max="5" width="18.85546875" bestFit="1" customWidth="1"/>
    <col min="6" max="6" width="13.7109375" customWidth="1"/>
    <col min="7" max="7" width="12.85546875" customWidth="1"/>
  </cols>
  <sheetData>
    <row r="1" spans="3:7" x14ac:dyDescent="0.25">
      <c r="C1" s="9" t="s">
        <v>73</v>
      </c>
      <c r="D1" s="9" t="s">
        <v>66</v>
      </c>
      <c r="E1" s="9" t="s">
        <v>1</v>
      </c>
      <c r="F1" s="9" t="s">
        <v>128</v>
      </c>
      <c r="G1" s="9" t="s">
        <v>2</v>
      </c>
    </row>
    <row r="2" spans="3:7" x14ac:dyDescent="0.25">
      <c r="C2" s="1"/>
      <c r="D2" s="1"/>
      <c r="E2" s="1"/>
      <c r="F2" s="1"/>
      <c r="G2" s="1"/>
    </row>
    <row r="3" spans="3:7" x14ac:dyDescent="0.25">
      <c r="C3" s="154">
        <v>1</v>
      </c>
      <c r="D3" s="13">
        <v>13</v>
      </c>
      <c r="E3" s="3" t="s">
        <v>84</v>
      </c>
      <c r="F3" s="3" t="s">
        <v>6</v>
      </c>
      <c r="G3" s="3">
        <v>57</v>
      </c>
    </row>
    <row r="4" spans="3:7" x14ac:dyDescent="0.25">
      <c r="C4" s="154"/>
      <c r="D4" s="13">
        <v>57</v>
      </c>
      <c r="E4" s="3" t="s">
        <v>112</v>
      </c>
      <c r="F4" s="3" t="s">
        <v>16</v>
      </c>
      <c r="G4" s="3">
        <v>53</v>
      </c>
    </row>
    <row r="5" spans="3:7" x14ac:dyDescent="0.25">
      <c r="C5" s="154"/>
      <c r="D5" s="13">
        <v>11</v>
      </c>
      <c r="E5" s="3" t="s">
        <v>153</v>
      </c>
      <c r="F5" s="3" t="s">
        <v>12</v>
      </c>
      <c r="G5" s="3">
        <v>41</v>
      </c>
    </row>
    <row r="7" spans="3:7" x14ac:dyDescent="0.25">
      <c r="C7" s="154">
        <v>2</v>
      </c>
      <c r="D7" s="3">
        <v>46</v>
      </c>
      <c r="E7" s="3" t="s">
        <v>109</v>
      </c>
      <c r="F7" s="3" t="s">
        <v>6</v>
      </c>
      <c r="G7" s="3">
        <v>45</v>
      </c>
    </row>
    <row r="8" spans="3:7" x14ac:dyDescent="0.25">
      <c r="C8" s="154"/>
      <c r="D8" s="3">
        <v>49</v>
      </c>
      <c r="E8" s="3" t="s">
        <v>106</v>
      </c>
      <c r="F8" s="3" t="s">
        <v>6</v>
      </c>
      <c r="G8" s="3">
        <v>17</v>
      </c>
    </row>
    <row r="9" spans="3:7" x14ac:dyDescent="0.25">
      <c r="C9" s="154"/>
      <c r="D9" s="3">
        <v>45</v>
      </c>
      <c r="E9" s="3" t="s">
        <v>58</v>
      </c>
      <c r="F9" s="3" t="s">
        <v>16</v>
      </c>
      <c r="G9" s="3">
        <v>60</v>
      </c>
    </row>
    <row r="11" spans="3:7" x14ac:dyDescent="0.25">
      <c r="C11" s="154">
        <v>3</v>
      </c>
      <c r="D11" s="3">
        <v>34</v>
      </c>
      <c r="E11" s="3" t="s">
        <v>78</v>
      </c>
      <c r="F11" s="3" t="s">
        <v>6</v>
      </c>
      <c r="G11" s="3">
        <v>20</v>
      </c>
    </row>
    <row r="12" spans="3:7" x14ac:dyDescent="0.25">
      <c r="C12" s="154"/>
      <c r="D12" s="3">
        <v>42</v>
      </c>
      <c r="E12" s="3" t="s">
        <v>83</v>
      </c>
      <c r="F12" s="3" t="s">
        <v>16</v>
      </c>
      <c r="G12" s="3">
        <v>19</v>
      </c>
    </row>
    <row r="13" spans="3:7" x14ac:dyDescent="0.25">
      <c r="C13" s="154"/>
      <c r="D13" s="3">
        <v>17</v>
      </c>
      <c r="E13" s="3" t="s">
        <v>162</v>
      </c>
      <c r="F13" s="3" t="s">
        <v>12</v>
      </c>
      <c r="G13" s="3">
        <v>33</v>
      </c>
    </row>
    <row r="14" spans="3:7" x14ac:dyDescent="0.25">
      <c r="C14" s="154"/>
      <c r="D14" s="3">
        <v>18</v>
      </c>
      <c r="E14" s="3" t="s">
        <v>205</v>
      </c>
      <c r="F14" s="3" t="s">
        <v>12</v>
      </c>
      <c r="G14" s="3">
        <v>33</v>
      </c>
    </row>
    <row r="16" spans="3:7" x14ac:dyDescent="0.25">
      <c r="C16" s="154">
        <v>4</v>
      </c>
      <c r="D16" s="3">
        <v>62</v>
      </c>
      <c r="E16" s="3" t="s">
        <v>149</v>
      </c>
      <c r="F16" s="3" t="s">
        <v>6</v>
      </c>
      <c r="G16" s="3">
        <v>65</v>
      </c>
    </row>
    <row r="17" spans="3:7" x14ac:dyDescent="0.25">
      <c r="C17" s="154"/>
      <c r="D17" s="3">
        <v>78</v>
      </c>
      <c r="E17" s="3" t="s">
        <v>152</v>
      </c>
      <c r="F17" s="3" t="s">
        <v>6</v>
      </c>
      <c r="G17" s="3">
        <v>65</v>
      </c>
    </row>
    <row r="18" spans="3:7" x14ac:dyDescent="0.25">
      <c r="C18" s="154"/>
      <c r="D18" s="3">
        <v>84</v>
      </c>
      <c r="E18" s="3" t="s">
        <v>91</v>
      </c>
      <c r="F18" s="3" t="s">
        <v>6</v>
      </c>
      <c r="G18" s="3">
        <v>72</v>
      </c>
    </row>
    <row r="20" spans="3:7" x14ac:dyDescent="0.25">
      <c r="C20" s="154">
        <v>5</v>
      </c>
      <c r="D20" s="3">
        <v>68</v>
      </c>
      <c r="E20" s="3" t="s">
        <v>115</v>
      </c>
      <c r="F20" s="3" t="s">
        <v>6</v>
      </c>
      <c r="G20" s="3">
        <v>65</v>
      </c>
    </row>
    <row r="21" spans="3:7" x14ac:dyDescent="0.25">
      <c r="C21" s="154"/>
      <c r="D21" s="3">
        <v>89</v>
      </c>
      <c r="E21" s="3" t="s">
        <v>154</v>
      </c>
      <c r="F21" s="3" t="s">
        <v>16</v>
      </c>
      <c r="G21" s="3">
        <v>67</v>
      </c>
    </row>
    <row r="22" spans="3:7" x14ac:dyDescent="0.25">
      <c r="C22" s="154"/>
      <c r="D22" s="3">
        <v>104</v>
      </c>
      <c r="E22" s="3" t="s">
        <v>213</v>
      </c>
      <c r="F22" s="3" t="s">
        <v>12</v>
      </c>
      <c r="G22" s="3">
        <v>40</v>
      </c>
    </row>
    <row r="23" spans="3:7" x14ac:dyDescent="0.25">
      <c r="C23" s="154"/>
      <c r="D23" s="3">
        <v>108</v>
      </c>
      <c r="E23" s="3" t="s">
        <v>214</v>
      </c>
      <c r="F23" s="3" t="s">
        <v>12</v>
      </c>
      <c r="G23" s="3">
        <v>40</v>
      </c>
    </row>
    <row r="25" spans="3:7" x14ac:dyDescent="0.25">
      <c r="C25" s="154">
        <v>6</v>
      </c>
      <c r="D25" s="3">
        <v>86</v>
      </c>
      <c r="E25" s="3" t="s">
        <v>100</v>
      </c>
      <c r="F25" s="3" t="s">
        <v>6</v>
      </c>
      <c r="G25" s="3">
        <v>49</v>
      </c>
    </row>
    <row r="26" spans="3:7" x14ac:dyDescent="0.25">
      <c r="C26" s="154"/>
      <c r="D26" s="3">
        <v>101</v>
      </c>
      <c r="E26" s="3" t="s">
        <v>220</v>
      </c>
      <c r="F26" s="3" t="s">
        <v>12</v>
      </c>
      <c r="G26" s="3">
        <v>39</v>
      </c>
    </row>
    <row r="28" spans="3:7" x14ac:dyDescent="0.25">
      <c r="C28" s="154">
        <v>7</v>
      </c>
      <c r="D28" s="40">
        <v>75</v>
      </c>
      <c r="E28" s="14" t="s">
        <v>148</v>
      </c>
      <c r="F28" s="3" t="s">
        <v>6</v>
      </c>
      <c r="G28" s="3">
        <v>61</v>
      </c>
    </row>
    <row r="29" spans="3:7" x14ac:dyDescent="0.25">
      <c r="C29" s="154"/>
      <c r="D29" s="40">
        <v>85</v>
      </c>
      <c r="E29" s="14" t="s">
        <v>179</v>
      </c>
      <c r="F29" s="3" t="s">
        <v>6</v>
      </c>
      <c r="G29" s="3">
        <v>65</v>
      </c>
    </row>
    <row r="30" spans="3:7" x14ac:dyDescent="0.25">
      <c r="C30" s="154"/>
      <c r="D30" s="81">
        <v>61</v>
      </c>
      <c r="E30" s="11" t="s">
        <v>182</v>
      </c>
      <c r="F30" s="11" t="s">
        <v>6</v>
      </c>
      <c r="G30" s="11">
        <v>60</v>
      </c>
    </row>
    <row r="32" spans="3:7" x14ac:dyDescent="0.25">
      <c r="C32" s="3">
        <v>8</v>
      </c>
      <c r="D32" s="81">
        <v>102</v>
      </c>
      <c r="E32" s="11" t="s">
        <v>226</v>
      </c>
      <c r="F32" s="11" t="s">
        <v>12</v>
      </c>
      <c r="G32" s="11">
        <v>14</v>
      </c>
    </row>
    <row r="34" spans="3:7" x14ac:dyDescent="0.25">
      <c r="C34" s="154">
        <v>9</v>
      </c>
      <c r="D34" s="3">
        <v>82</v>
      </c>
      <c r="E34" s="3" t="s">
        <v>147</v>
      </c>
      <c r="F34" s="3" t="s">
        <v>6</v>
      </c>
      <c r="G34" s="3">
        <v>65</v>
      </c>
    </row>
    <row r="35" spans="3:7" x14ac:dyDescent="0.25">
      <c r="C35" s="154"/>
      <c r="D35" s="3">
        <v>88</v>
      </c>
      <c r="E35" s="3" t="s">
        <v>189</v>
      </c>
      <c r="F35" s="3" t="s">
        <v>16</v>
      </c>
      <c r="G35" s="3">
        <v>65</v>
      </c>
    </row>
    <row r="37" spans="3:7" x14ac:dyDescent="0.25">
      <c r="C37" s="151">
        <v>10</v>
      </c>
      <c r="D37" s="11">
        <v>64</v>
      </c>
      <c r="E37" s="11" t="s">
        <v>181</v>
      </c>
      <c r="F37" s="11" t="s">
        <v>6</v>
      </c>
      <c r="G37" s="11">
        <v>67</v>
      </c>
    </row>
    <row r="38" spans="3:7" x14ac:dyDescent="0.25">
      <c r="C38" s="152"/>
      <c r="D38" s="3">
        <v>71</v>
      </c>
      <c r="E38" s="3" t="s">
        <v>245</v>
      </c>
      <c r="F38" s="3" t="s">
        <v>6</v>
      </c>
      <c r="G38" s="87">
        <v>15</v>
      </c>
    </row>
    <row r="39" spans="3:7" x14ac:dyDescent="0.25">
      <c r="C39" s="152"/>
      <c r="D39" s="11">
        <v>72</v>
      </c>
      <c r="E39" s="11" t="s">
        <v>212</v>
      </c>
      <c r="F39" s="11" t="s">
        <v>6</v>
      </c>
      <c r="G39" s="11">
        <v>64</v>
      </c>
    </row>
    <row r="40" spans="3:7" x14ac:dyDescent="0.25">
      <c r="C40" s="153"/>
      <c r="D40" s="11">
        <v>106</v>
      </c>
      <c r="E40" s="11" t="s">
        <v>248</v>
      </c>
      <c r="F40" s="11" t="s">
        <v>12</v>
      </c>
      <c r="G40" s="11">
        <v>40</v>
      </c>
    </row>
    <row r="42" spans="3:7" x14ac:dyDescent="0.25">
      <c r="C42" s="151">
        <v>11</v>
      </c>
      <c r="D42" s="3">
        <v>59</v>
      </c>
      <c r="E42" s="14" t="s">
        <v>183</v>
      </c>
      <c r="F42" s="3" t="s">
        <v>6</v>
      </c>
      <c r="G42" s="3">
        <v>60</v>
      </c>
    </row>
    <row r="43" spans="3:7" x14ac:dyDescent="0.25">
      <c r="C43" s="152"/>
      <c r="D43" s="3">
        <v>105</v>
      </c>
      <c r="E43" s="3" t="s">
        <v>250</v>
      </c>
      <c r="F43" s="3" t="s">
        <v>12</v>
      </c>
      <c r="G43" s="3">
        <v>38</v>
      </c>
    </row>
    <row r="44" spans="3:7" x14ac:dyDescent="0.25">
      <c r="C44" s="152"/>
      <c r="D44" s="3">
        <v>109</v>
      </c>
      <c r="E44" s="3" t="s">
        <v>249</v>
      </c>
      <c r="F44" s="3" t="s">
        <v>12</v>
      </c>
      <c r="G44" s="88">
        <v>37</v>
      </c>
    </row>
    <row r="45" spans="3:7" x14ac:dyDescent="0.25">
      <c r="C45" s="153"/>
      <c r="D45" s="3">
        <v>113</v>
      </c>
      <c r="E45" s="3" t="s">
        <v>276</v>
      </c>
      <c r="F45" s="3" t="s">
        <v>12</v>
      </c>
      <c r="G45" s="88">
        <v>23</v>
      </c>
    </row>
    <row r="47" spans="3:7" x14ac:dyDescent="0.25">
      <c r="C47" s="11">
        <v>12</v>
      </c>
      <c r="D47" s="11">
        <v>80</v>
      </c>
      <c r="E47" s="11" t="s">
        <v>146</v>
      </c>
      <c r="F47" s="11" t="s">
        <v>6</v>
      </c>
      <c r="G47" s="11">
        <v>65</v>
      </c>
    </row>
    <row r="49" spans="3:7" x14ac:dyDescent="0.25">
      <c r="C49" s="154">
        <v>13</v>
      </c>
      <c r="D49" s="3">
        <v>60</v>
      </c>
      <c r="E49" s="3" t="s">
        <v>229</v>
      </c>
      <c r="F49" s="3" t="s">
        <v>6</v>
      </c>
      <c r="G49" s="3">
        <v>69</v>
      </c>
    </row>
    <row r="50" spans="3:7" x14ac:dyDescent="0.25">
      <c r="C50" s="154"/>
      <c r="D50" s="11">
        <v>98</v>
      </c>
      <c r="E50" s="3" t="s">
        <v>225</v>
      </c>
      <c r="F50" s="3" t="s">
        <v>16</v>
      </c>
      <c r="G50" s="43">
        <f>11+3+1+5+9+3</f>
        <v>32</v>
      </c>
    </row>
    <row r="52" spans="3:7" x14ac:dyDescent="0.25">
      <c r="C52" s="85">
        <v>14</v>
      </c>
      <c r="D52" s="86"/>
      <c r="E52" s="86"/>
      <c r="F52" s="86"/>
      <c r="G52" s="86"/>
    </row>
    <row r="54" spans="3:7" x14ac:dyDescent="0.25">
      <c r="C54" s="151">
        <v>15</v>
      </c>
      <c r="D54" s="3">
        <v>73</v>
      </c>
      <c r="E54" s="3" t="s">
        <v>247</v>
      </c>
      <c r="F54" s="3" t="s">
        <v>6</v>
      </c>
      <c r="G54" s="3">
        <v>65</v>
      </c>
    </row>
    <row r="55" spans="3:7" x14ac:dyDescent="0.25">
      <c r="C55" s="152"/>
      <c r="D55" s="3">
        <v>81</v>
      </c>
      <c r="E55" s="3" t="s">
        <v>227</v>
      </c>
      <c r="F55" s="3" t="s">
        <v>6</v>
      </c>
      <c r="G55" s="3">
        <v>65</v>
      </c>
    </row>
    <row r="56" spans="3:7" x14ac:dyDescent="0.25">
      <c r="C56" s="152"/>
      <c r="D56" s="3">
        <v>90</v>
      </c>
      <c r="E56" s="3" t="s">
        <v>216</v>
      </c>
      <c r="F56" s="3" t="s">
        <v>16</v>
      </c>
      <c r="G56" s="43">
        <v>50</v>
      </c>
    </row>
    <row r="57" spans="3:7" x14ac:dyDescent="0.25">
      <c r="C57" s="153"/>
      <c r="D57" s="3">
        <v>99</v>
      </c>
      <c r="E57" s="3" t="s">
        <v>192</v>
      </c>
      <c r="F57" s="3" t="s">
        <v>16</v>
      </c>
      <c r="G57" s="3">
        <v>67</v>
      </c>
    </row>
    <row r="59" spans="3:7" x14ac:dyDescent="0.25">
      <c r="C59" s="151">
        <v>16</v>
      </c>
      <c r="D59" s="3">
        <v>66</v>
      </c>
      <c r="E59" s="3" t="s">
        <v>271</v>
      </c>
      <c r="F59" s="3" t="s">
        <v>6</v>
      </c>
      <c r="G59" s="60">
        <v>18</v>
      </c>
    </row>
    <row r="60" spans="3:7" x14ac:dyDescent="0.25">
      <c r="C60" s="152"/>
      <c r="D60" s="11">
        <v>76</v>
      </c>
      <c r="E60" s="11" t="s">
        <v>151</v>
      </c>
      <c r="F60" s="11" t="s">
        <v>6</v>
      </c>
      <c r="G60" s="11">
        <v>58</v>
      </c>
    </row>
    <row r="61" spans="3:7" x14ac:dyDescent="0.25">
      <c r="C61" s="152"/>
      <c r="D61" s="11">
        <v>77</v>
      </c>
      <c r="E61" s="11" t="s">
        <v>180</v>
      </c>
      <c r="F61" s="11" t="s">
        <v>6</v>
      </c>
      <c r="G61" s="11">
        <v>60</v>
      </c>
    </row>
    <row r="62" spans="3:7" x14ac:dyDescent="0.25">
      <c r="C62" s="152"/>
      <c r="D62" s="11">
        <v>87</v>
      </c>
      <c r="E62" s="11" t="s">
        <v>243</v>
      </c>
      <c r="F62" s="11" t="s">
        <v>6</v>
      </c>
      <c r="G62" s="11">
        <v>66</v>
      </c>
    </row>
    <row r="63" spans="3:7" x14ac:dyDescent="0.25">
      <c r="C63" s="153"/>
      <c r="D63" s="11">
        <v>97</v>
      </c>
      <c r="E63" s="11" t="s">
        <v>141</v>
      </c>
      <c r="F63" s="11" t="s">
        <v>16</v>
      </c>
      <c r="G63" s="11">
        <v>65</v>
      </c>
    </row>
    <row r="65" spans="3:7" x14ac:dyDescent="0.25">
      <c r="C65" s="85">
        <v>17</v>
      </c>
      <c r="D65" s="86"/>
      <c r="E65" s="86"/>
      <c r="F65" s="86"/>
      <c r="G65" s="86"/>
    </row>
    <row r="67" spans="3:7" x14ac:dyDescent="0.25">
      <c r="C67" s="154">
        <v>18</v>
      </c>
      <c r="D67" s="3">
        <v>58</v>
      </c>
      <c r="E67" s="3" t="s">
        <v>241</v>
      </c>
      <c r="F67" s="3" t="s">
        <v>6</v>
      </c>
      <c r="G67" s="3">
        <v>65</v>
      </c>
    </row>
    <row r="68" spans="3:7" x14ac:dyDescent="0.25">
      <c r="C68" s="154"/>
      <c r="D68" s="3">
        <v>67</v>
      </c>
      <c r="E68" s="3" t="s">
        <v>240</v>
      </c>
      <c r="F68" s="3" t="s">
        <v>6</v>
      </c>
      <c r="G68" s="3">
        <v>65</v>
      </c>
    </row>
    <row r="70" spans="3:7" x14ac:dyDescent="0.25">
      <c r="C70" s="3">
        <v>19</v>
      </c>
      <c r="D70" s="11">
        <v>74</v>
      </c>
      <c r="E70" s="11" t="s">
        <v>246</v>
      </c>
      <c r="F70" s="11" t="s">
        <v>6</v>
      </c>
      <c r="G70" s="11">
        <v>65</v>
      </c>
    </row>
    <row r="72" spans="3:7" x14ac:dyDescent="0.25">
      <c r="C72" s="154">
        <v>20</v>
      </c>
      <c r="D72" s="11">
        <v>69</v>
      </c>
      <c r="E72" s="11" t="s">
        <v>234</v>
      </c>
      <c r="F72" s="11" t="s">
        <v>6</v>
      </c>
      <c r="G72" s="11">
        <v>65</v>
      </c>
    </row>
    <row r="73" spans="3:7" x14ac:dyDescent="0.25">
      <c r="C73" s="154"/>
      <c r="D73" s="3">
        <v>95</v>
      </c>
      <c r="E73" s="3" t="s">
        <v>215</v>
      </c>
      <c r="F73" s="3" t="s">
        <v>16</v>
      </c>
      <c r="G73" s="3">
        <v>67</v>
      </c>
    </row>
    <row r="75" spans="3:7" x14ac:dyDescent="0.25">
      <c r="C75" s="85">
        <v>21</v>
      </c>
      <c r="D75" s="86"/>
      <c r="E75" s="86"/>
      <c r="F75" s="86"/>
      <c r="G75" s="86"/>
    </row>
    <row r="77" spans="3:7" x14ac:dyDescent="0.25">
      <c r="C77" s="154">
        <v>22</v>
      </c>
      <c r="D77" s="3">
        <v>96</v>
      </c>
      <c r="E77" s="3" t="s">
        <v>239</v>
      </c>
      <c r="F77" s="3" t="s">
        <v>16</v>
      </c>
      <c r="G77" s="3">
        <v>65</v>
      </c>
    </row>
    <row r="78" spans="3:7" x14ac:dyDescent="0.25">
      <c r="C78" s="154"/>
      <c r="D78" s="3" t="s">
        <v>150</v>
      </c>
      <c r="E78" s="3" t="s">
        <v>272</v>
      </c>
      <c r="F78" s="3" t="s">
        <v>16</v>
      </c>
      <c r="G78" s="89">
        <v>5</v>
      </c>
    </row>
    <row r="80" spans="3:7" x14ac:dyDescent="0.25">
      <c r="C80" s="3">
        <v>23</v>
      </c>
      <c r="D80" s="3">
        <v>81</v>
      </c>
      <c r="E80" s="3" t="s">
        <v>273</v>
      </c>
      <c r="F80" s="3" t="s">
        <v>6</v>
      </c>
      <c r="G80" s="3">
        <v>65</v>
      </c>
    </row>
    <row r="82" spans="3:7" x14ac:dyDescent="0.25">
      <c r="C82" s="151">
        <v>24</v>
      </c>
      <c r="D82" s="3">
        <v>62</v>
      </c>
      <c r="E82" s="3" t="s">
        <v>275</v>
      </c>
      <c r="F82" s="3" t="s">
        <v>6</v>
      </c>
      <c r="G82" s="3">
        <v>63</v>
      </c>
    </row>
    <row r="83" spans="3:7" x14ac:dyDescent="0.25">
      <c r="C83" s="153"/>
      <c r="D83" s="3">
        <v>93</v>
      </c>
      <c r="E83" s="3" t="s">
        <v>191</v>
      </c>
      <c r="F83" s="3" t="s">
        <v>16</v>
      </c>
      <c r="G83" s="3">
        <v>65</v>
      </c>
    </row>
    <row r="85" spans="3:7" x14ac:dyDescent="0.25">
      <c r="C85" s="85">
        <v>25</v>
      </c>
      <c r="D85" s="86"/>
      <c r="E85" s="86"/>
      <c r="F85" s="86"/>
      <c r="G85" s="86"/>
    </row>
    <row r="87" spans="3:7" x14ac:dyDescent="0.25">
      <c r="C87" s="85">
        <v>26</v>
      </c>
      <c r="D87" s="86"/>
      <c r="E87" s="86"/>
      <c r="F87" s="86"/>
      <c r="G87" s="86"/>
    </row>
  </sheetData>
  <mergeCells count="17">
    <mergeCell ref="C82:C83"/>
    <mergeCell ref="C77:C78"/>
    <mergeCell ref="C20:C23"/>
    <mergeCell ref="C42:C45"/>
    <mergeCell ref="C49:C50"/>
    <mergeCell ref="C59:C63"/>
    <mergeCell ref="C37:C40"/>
    <mergeCell ref="C54:C57"/>
    <mergeCell ref="C67:C68"/>
    <mergeCell ref="C25:C26"/>
    <mergeCell ref="C34:C35"/>
    <mergeCell ref="C28:C30"/>
    <mergeCell ref="C3:C5"/>
    <mergeCell ref="C7:C9"/>
    <mergeCell ref="C11:C14"/>
    <mergeCell ref="C16:C18"/>
    <mergeCell ref="C72:C73"/>
  </mergeCells>
  <conditionalFormatting sqref="E7:E9">
    <cfRule type="duplicateValues" dxfId="115" priority="32"/>
  </conditionalFormatting>
  <conditionalFormatting sqref="E11:E14">
    <cfRule type="duplicateValues" dxfId="114" priority="11"/>
  </conditionalFormatting>
  <conditionalFormatting sqref="E16:E18">
    <cfRule type="duplicateValues" dxfId="113" priority="30"/>
  </conditionalFormatting>
  <conditionalFormatting sqref="E20 E22:E23">
    <cfRule type="duplicateValues" dxfId="112" priority="29"/>
  </conditionalFormatting>
  <conditionalFormatting sqref="E21">
    <cfRule type="duplicateValues" dxfId="111" priority="10"/>
  </conditionalFormatting>
  <conditionalFormatting sqref="E25:E26">
    <cfRule type="duplicateValues" dxfId="110" priority="28"/>
  </conditionalFormatting>
  <conditionalFormatting sqref="E28:E29">
    <cfRule type="duplicateValues" dxfId="109" priority="27"/>
  </conditionalFormatting>
  <conditionalFormatting sqref="E34:E35">
    <cfRule type="duplicateValues" dxfId="108" priority="26"/>
  </conditionalFormatting>
  <conditionalFormatting sqref="E38">
    <cfRule type="duplicateValues" dxfId="107" priority="9"/>
  </conditionalFormatting>
  <conditionalFormatting sqref="E42:E43">
    <cfRule type="duplicateValues" dxfId="106" priority="25"/>
  </conditionalFormatting>
  <conditionalFormatting sqref="E44:E45">
    <cfRule type="duplicateValues" dxfId="105" priority="8"/>
  </conditionalFormatting>
  <conditionalFormatting sqref="E49">
    <cfRule type="duplicateValues" dxfId="104" priority="24"/>
  </conditionalFormatting>
  <conditionalFormatting sqref="E50">
    <cfRule type="duplicateValues" dxfId="103" priority="7"/>
  </conditionalFormatting>
  <conditionalFormatting sqref="E52">
    <cfRule type="duplicateValues" dxfId="102" priority="22"/>
  </conditionalFormatting>
  <conditionalFormatting sqref="E54:E55 E57">
    <cfRule type="duplicateValues" dxfId="101" priority="23"/>
  </conditionalFormatting>
  <conditionalFormatting sqref="E56">
    <cfRule type="duplicateValues" dxfId="100" priority="6"/>
  </conditionalFormatting>
  <conditionalFormatting sqref="E59">
    <cfRule type="duplicateValues" dxfId="99" priority="5"/>
  </conditionalFormatting>
  <conditionalFormatting sqref="E65">
    <cfRule type="duplicateValues" dxfId="98" priority="21"/>
  </conditionalFormatting>
  <conditionalFormatting sqref="E67:E68">
    <cfRule type="duplicateValues" dxfId="97" priority="20"/>
  </conditionalFormatting>
  <conditionalFormatting sqref="E73">
    <cfRule type="duplicateValues" dxfId="96" priority="19"/>
  </conditionalFormatting>
  <conditionalFormatting sqref="E75">
    <cfRule type="duplicateValues" dxfId="95" priority="18"/>
  </conditionalFormatting>
  <conditionalFormatting sqref="E77">
    <cfRule type="duplicateValues" dxfId="94" priority="17"/>
  </conditionalFormatting>
  <conditionalFormatting sqref="E78">
    <cfRule type="duplicateValues" dxfId="93" priority="2"/>
  </conditionalFormatting>
  <conditionalFormatting sqref="E80 E82">
    <cfRule type="duplicateValues" dxfId="92" priority="1"/>
  </conditionalFormatting>
  <conditionalFormatting sqref="E83">
    <cfRule type="duplicateValues" dxfId="91" priority="15"/>
  </conditionalFormatting>
  <conditionalFormatting sqref="E85">
    <cfRule type="duplicateValues" dxfId="90" priority="14"/>
  </conditionalFormatting>
  <conditionalFormatting sqref="E87">
    <cfRule type="duplicateValues" dxfId="89" priority="13"/>
  </conditionalFormatting>
  <conditionalFormatting sqref="E90:E1048576 E32:E77 E1:E30 E79 E83:E88 E81">
    <cfRule type="duplicateValues" dxfId="88" priority="3"/>
    <cfRule type="duplicateValues" dxfId="87" priority="4"/>
  </conditionalFormatting>
  <pageMargins left="0.7" right="0.7" top="0.75" bottom="0.75" header="0.3" footer="0.3"/>
  <pageSetup orientation="landscape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AF90E-D1BD-4577-A8F6-2434F2F888B3}">
  <dimension ref="A1:H719"/>
  <sheetViews>
    <sheetView topLeftCell="A693" workbookViewId="0">
      <selection activeCell="H707" sqref="H707"/>
    </sheetView>
  </sheetViews>
  <sheetFormatPr baseColWidth="10" defaultColWidth="11.5703125" defaultRowHeight="14.45" customHeight="1" x14ac:dyDescent="0.25"/>
  <cols>
    <col min="2" max="2" width="13.140625" customWidth="1"/>
    <col min="3" max="3" width="18.85546875" bestFit="1" customWidth="1"/>
    <col min="4" max="4" width="14.85546875" customWidth="1"/>
    <col min="5" max="5" width="18.28515625" bestFit="1" customWidth="1"/>
    <col min="6" max="6" width="13" customWidth="1"/>
    <col min="7" max="7" width="26.7109375" customWidth="1"/>
    <col min="8" max="8" width="13" bestFit="1" customWidth="1"/>
    <col min="13" max="13" width="15.5703125" bestFit="1" customWidth="1"/>
  </cols>
  <sheetData>
    <row r="1" spans="1:7" ht="14.45" customHeight="1" x14ac:dyDescent="0.25">
      <c r="A1" s="156" t="s">
        <v>251</v>
      </c>
      <c r="B1" s="156"/>
      <c r="C1" s="156"/>
      <c r="D1" s="156"/>
      <c r="E1" s="156"/>
      <c r="F1" s="156"/>
      <c r="G1" s="156"/>
    </row>
    <row r="3" spans="1:7" ht="14.45" customHeight="1" x14ac:dyDescent="0.25">
      <c r="B3" s="157" t="s">
        <v>122</v>
      </c>
      <c r="C3" s="157"/>
      <c r="D3" s="157"/>
      <c r="E3" s="157"/>
      <c r="F3" s="157"/>
    </row>
    <row r="4" spans="1:7" ht="14.45" customHeight="1" x14ac:dyDescent="0.25">
      <c r="B4" s="10" t="s">
        <v>0</v>
      </c>
      <c r="C4" s="69" t="s">
        <v>1</v>
      </c>
      <c r="D4" s="10" t="s">
        <v>128</v>
      </c>
      <c r="E4" s="10" t="s">
        <v>120</v>
      </c>
      <c r="F4" s="17" t="s">
        <v>2</v>
      </c>
    </row>
    <row r="5" spans="1:7" ht="14.45" customHeight="1" x14ac:dyDescent="0.25">
      <c r="B5" s="14">
        <v>48</v>
      </c>
      <c r="C5" s="14" t="s">
        <v>69</v>
      </c>
      <c r="D5" s="14" t="s">
        <v>6</v>
      </c>
      <c r="E5" s="70">
        <v>45927</v>
      </c>
      <c r="F5" s="14">
        <v>65</v>
      </c>
    </row>
    <row r="6" spans="1:7" ht="14.45" customHeight="1" x14ac:dyDescent="0.25">
      <c r="B6" s="14">
        <v>84</v>
      </c>
      <c r="C6" s="14" t="s">
        <v>59</v>
      </c>
      <c r="D6" s="14" t="s">
        <v>6</v>
      </c>
      <c r="E6" s="70">
        <v>45927.666666666664</v>
      </c>
      <c r="F6" s="14">
        <v>65</v>
      </c>
    </row>
    <row r="7" spans="1:7" ht="14.45" customHeight="1" x14ac:dyDescent="0.25">
      <c r="B7" s="14">
        <v>107</v>
      </c>
      <c r="C7" s="14" t="s">
        <v>92</v>
      </c>
      <c r="D7" s="14" t="s">
        <v>12</v>
      </c>
      <c r="E7" s="70">
        <v>45923</v>
      </c>
      <c r="F7" s="14">
        <v>31</v>
      </c>
    </row>
    <row r="10" spans="1:7" ht="14.45" customHeight="1" x14ac:dyDescent="0.25">
      <c r="B10" s="157" t="s">
        <v>121</v>
      </c>
      <c r="C10" s="157"/>
      <c r="D10" s="157"/>
      <c r="E10" s="157"/>
      <c r="F10" s="157"/>
    </row>
    <row r="11" spans="1:7" ht="14.45" customHeight="1" x14ac:dyDescent="0.25">
      <c r="B11" s="10" t="s">
        <v>0</v>
      </c>
      <c r="C11" s="69" t="s">
        <v>1</v>
      </c>
      <c r="D11" s="10" t="s">
        <v>128</v>
      </c>
      <c r="E11" s="10" t="s">
        <v>120</v>
      </c>
      <c r="F11" s="17" t="s">
        <v>2</v>
      </c>
    </row>
    <row r="12" spans="1:7" ht="14.45" customHeight="1" x14ac:dyDescent="0.25">
      <c r="B12" s="3">
        <v>26</v>
      </c>
      <c r="C12" s="3" t="s">
        <v>116</v>
      </c>
      <c r="D12" s="3" t="s">
        <v>16</v>
      </c>
      <c r="E12" s="70">
        <v>45924.125</v>
      </c>
      <c r="F12" s="3">
        <v>25</v>
      </c>
      <c r="G12" t="s">
        <v>125</v>
      </c>
    </row>
    <row r="13" spans="1:7" ht="14.45" customHeight="1" x14ac:dyDescent="0.25">
      <c r="B13" s="3">
        <v>86</v>
      </c>
      <c r="C13" s="3" t="s">
        <v>100</v>
      </c>
      <c r="D13" s="3" t="s">
        <v>6</v>
      </c>
      <c r="E13" s="70">
        <v>45923.354838709674</v>
      </c>
      <c r="F13" s="3">
        <v>49</v>
      </c>
      <c r="G13" t="s">
        <v>124</v>
      </c>
    </row>
    <row r="14" spans="1:7" ht="14.45" customHeight="1" x14ac:dyDescent="0.25">
      <c r="B14" s="3">
        <v>207</v>
      </c>
      <c r="C14" s="3" t="s">
        <v>106</v>
      </c>
      <c r="D14" s="3" t="s">
        <v>6</v>
      </c>
      <c r="E14" s="70">
        <v>45922.125</v>
      </c>
      <c r="F14" s="3">
        <v>17</v>
      </c>
      <c r="G14" t="s">
        <v>123</v>
      </c>
    </row>
    <row r="17" spans="1:7" ht="14.45" customHeight="1" x14ac:dyDescent="0.25">
      <c r="B17" s="162" t="s">
        <v>127</v>
      </c>
      <c r="C17" s="162"/>
      <c r="D17" s="162"/>
      <c r="E17" s="162"/>
      <c r="F17" s="162"/>
    </row>
    <row r="18" spans="1:7" ht="14.45" customHeight="1" x14ac:dyDescent="0.25">
      <c r="B18" s="10" t="s">
        <v>0</v>
      </c>
      <c r="C18" s="69" t="s">
        <v>1</v>
      </c>
      <c r="D18" s="10" t="s">
        <v>128</v>
      </c>
      <c r="E18" s="10" t="s">
        <v>120</v>
      </c>
      <c r="F18" s="9" t="s">
        <v>203</v>
      </c>
    </row>
    <row r="19" spans="1:7" ht="14.45" customHeight="1" x14ac:dyDescent="0.25">
      <c r="B19" s="3">
        <v>47</v>
      </c>
      <c r="C19" s="14" t="s">
        <v>102</v>
      </c>
      <c r="D19" s="14" t="s">
        <v>6</v>
      </c>
      <c r="E19" s="8">
        <v>45924</v>
      </c>
      <c r="F19" s="13">
        <v>58</v>
      </c>
      <c r="G19" t="s">
        <v>204</v>
      </c>
    </row>
    <row r="20" spans="1:7" ht="14.45" customHeight="1" x14ac:dyDescent="0.25">
      <c r="B20" s="3">
        <v>83</v>
      </c>
      <c r="C20" s="14" t="s">
        <v>89</v>
      </c>
      <c r="D20" s="14" t="s">
        <v>16</v>
      </c>
      <c r="E20" s="8">
        <v>45923</v>
      </c>
      <c r="F20" s="13">
        <v>69</v>
      </c>
      <c r="G20" t="s">
        <v>204</v>
      </c>
    </row>
    <row r="21" spans="1:7" ht="14.45" customHeight="1" x14ac:dyDescent="0.25">
      <c r="B21" s="3">
        <v>86</v>
      </c>
      <c r="C21" s="14" t="s">
        <v>100</v>
      </c>
      <c r="D21" s="14" t="s">
        <v>6</v>
      </c>
      <c r="E21" s="8">
        <v>45924</v>
      </c>
      <c r="F21" s="13">
        <v>58</v>
      </c>
      <c r="G21" t="s">
        <v>204</v>
      </c>
    </row>
    <row r="22" spans="1:7" ht="14.45" customHeight="1" x14ac:dyDescent="0.25">
      <c r="B22" s="54">
        <v>88</v>
      </c>
      <c r="C22" s="54" t="s">
        <v>99</v>
      </c>
      <c r="D22" s="54" t="s">
        <v>6</v>
      </c>
      <c r="E22" s="71">
        <v>45923</v>
      </c>
      <c r="F22" s="72">
        <v>59</v>
      </c>
    </row>
    <row r="25" spans="1:7" ht="14.45" customHeight="1" x14ac:dyDescent="0.25">
      <c r="B25" s="162" t="s">
        <v>130</v>
      </c>
      <c r="C25" s="162"/>
      <c r="D25" s="162"/>
      <c r="E25" s="162"/>
      <c r="F25" s="162"/>
    </row>
    <row r="26" spans="1:7" ht="14.45" customHeight="1" x14ac:dyDescent="0.25">
      <c r="B26" s="10" t="s">
        <v>0</v>
      </c>
      <c r="C26" s="69" t="s">
        <v>1</v>
      </c>
      <c r="D26" s="10" t="s">
        <v>128</v>
      </c>
      <c r="E26" s="10" t="s">
        <v>120</v>
      </c>
      <c r="F26" s="9" t="s">
        <v>2</v>
      </c>
    </row>
    <row r="27" spans="1:7" ht="14.45" customHeight="1" x14ac:dyDescent="0.25">
      <c r="B27" s="3">
        <v>14</v>
      </c>
      <c r="C27" s="3" t="s">
        <v>76</v>
      </c>
      <c r="D27" s="3" t="s">
        <v>6</v>
      </c>
      <c r="E27" s="73">
        <v>45923</v>
      </c>
      <c r="F27" s="3">
        <v>51</v>
      </c>
    </row>
    <row r="28" spans="1:7" ht="14.45" customHeight="1" x14ac:dyDescent="0.25">
      <c r="B28" s="3">
        <v>51</v>
      </c>
      <c r="C28" s="3" t="s">
        <v>60</v>
      </c>
      <c r="D28" s="3" t="s">
        <v>6</v>
      </c>
      <c r="E28" s="8">
        <v>45927.333333333336</v>
      </c>
      <c r="F28" s="3">
        <v>65</v>
      </c>
    </row>
    <row r="30" spans="1:7" ht="14.45" customHeight="1" x14ac:dyDescent="0.25">
      <c r="A30" s="78"/>
      <c r="B30" s="78"/>
      <c r="C30" s="78"/>
      <c r="D30" s="78"/>
      <c r="E30" s="78"/>
      <c r="F30" s="78"/>
      <c r="G30" s="78"/>
    </row>
    <row r="32" spans="1:7" ht="14.45" customHeight="1" x14ac:dyDescent="0.25">
      <c r="A32" s="156" t="s">
        <v>252</v>
      </c>
      <c r="B32" s="156"/>
      <c r="C32" s="156"/>
      <c r="D32" s="156"/>
      <c r="E32" s="156"/>
      <c r="F32" s="156"/>
      <c r="G32" s="156"/>
    </row>
    <row r="34" spans="2:7" ht="14.45" customHeight="1" x14ac:dyDescent="0.25">
      <c r="B34" s="157" t="s">
        <v>163</v>
      </c>
      <c r="C34" s="157"/>
      <c r="D34" s="157"/>
      <c r="E34" s="157"/>
      <c r="F34" s="157"/>
    </row>
    <row r="35" spans="2:7" ht="14.45" customHeight="1" x14ac:dyDescent="0.25">
      <c r="B35" s="10" t="s">
        <v>0</v>
      </c>
      <c r="C35" s="69" t="s">
        <v>1</v>
      </c>
      <c r="D35" s="10" t="s">
        <v>128</v>
      </c>
      <c r="E35" s="10" t="s">
        <v>120</v>
      </c>
      <c r="F35" s="17" t="s">
        <v>2</v>
      </c>
    </row>
    <row r="36" spans="2:7" ht="14.45" customHeight="1" x14ac:dyDescent="0.25">
      <c r="B36" s="14">
        <v>64</v>
      </c>
      <c r="C36" s="14" t="s">
        <v>64</v>
      </c>
      <c r="D36" s="14" t="s">
        <v>6</v>
      </c>
      <c r="E36" s="8">
        <v>45933.666666666664</v>
      </c>
      <c r="F36" s="74">
        <v>59</v>
      </c>
    </row>
    <row r="37" spans="2:7" ht="14.45" customHeight="1" x14ac:dyDescent="0.25">
      <c r="B37" s="14">
        <v>69</v>
      </c>
      <c r="C37" s="14" t="s">
        <v>82</v>
      </c>
      <c r="D37" s="14" t="s">
        <v>6</v>
      </c>
      <c r="E37" s="8">
        <v>45932.176470588238</v>
      </c>
      <c r="F37" s="74">
        <v>65</v>
      </c>
    </row>
    <row r="38" spans="2:7" ht="14.45" customHeight="1" x14ac:dyDescent="0.25">
      <c r="B38" s="14">
        <v>94</v>
      </c>
      <c r="C38" s="14" t="s">
        <v>57</v>
      </c>
      <c r="D38" s="14" t="s">
        <v>16</v>
      </c>
      <c r="E38" s="8">
        <v>45931.539682539682</v>
      </c>
      <c r="F38" s="74">
        <v>60</v>
      </c>
    </row>
    <row r="39" spans="2:7" ht="14.45" customHeight="1" x14ac:dyDescent="0.25">
      <c r="B39" s="11">
        <v>97</v>
      </c>
      <c r="C39" s="11" t="s">
        <v>54</v>
      </c>
      <c r="D39" s="11" t="s">
        <v>16</v>
      </c>
      <c r="E39" s="8">
        <v>45933.8</v>
      </c>
      <c r="F39" s="11">
        <v>60</v>
      </c>
    </row>
    <row r="40" spans="2:7" ht="14.45" customHeight="1" x14ac:dyDescent="0.25">
      <c r="B40" s="11">
        <v>110</v>
      </c>
      <c r="C40" s="11" t="s">
        <v>107</v>
      </c>
      <c r="D40" s="11" t="s">
        <v>12</v>
      </c>
      <c r="E40" s="8">
        <v>45934</v>
      </c>
      <c r="F40" s="11">
        <v>37</v>
      </c>
    </row>
    <row r="41" spans="2:7" ht="14.45" customHeight="1" x14ac:dyDescent="0.25">
      <c r="B41" s="11">
        <v>111</v>
      </c>
      <c r="C41" s="11" t="s">
        <v>110</v>
      </c>
      <c r="D41" s="11" t="s">
        <v>12</v>
      </c>
      <c r="E41" s="8">
        <v>45930.375</v>
      </c>
      <c r="F41" s="11">
        <v>30</v>
      </c>
    </row>
    <row r="43" spans="2:7" ht="14.45" customHeight="1" x14ac:dyDescent="0.25">
      <c r="B43" s="162" t="s">
        <v>187</v>
      </c>
      <c r="C43" s="162"/>
      <c r="D43" s="162"/>
      <c r="E43" s="162"/>
      <c r="F43" s="162"/>
    </row>
    <row r="44" spans="2:7" ht="14.45" customHeight="1" x14ac:dyDescent="0.25">
      <c r="B44" s="10" t="s">
        <v>0</v>
      </c>
      <c r="C44" s="69" t="s">
        <v>1</v>
      </c>
      <c r="D44" s="10" t="s">
        <v>128</v>
      </c>
      <c r="E44" s="10" t="s">
        <v>120</v>
      </c>
      <c r="F44" s="9" t="s">
        <v>2</v>
      </c>
    </row>
    <row r="45" spans="2:7" ht="14.45" customHeight="1" x14ac:dyDescent="0.25">
      <c r="B45" s="9">
        <v>58</v>
      </c>
      <c r="C45" s="3" t="s">
        <v>103</v>
      </c>
      <c r="D45" s="14" t="s">
        <v>6</v>
      </c>
      <c r="E45" s="8">
        <v>45934</v>
      </c>
      <c r="F45" s="28">
        <v>52</v>
      </c>
      <c r="G45" t="s">
        <v>129</v>
      </c>
    </row>
    <row r="46" spans="2:7" ht="14.45" customHeight="1" x14ac:dyDescent="0.25">
      <c r="B46" s="9">
        <v>79</v>
      </c>
      <c r="C46" s="3" t="s">
        <v>98</v>
      </c>
      <c r="D46" s="14" t="s">
        <v>6</v>
      </c>
      <c r="E46" s="8">
        <v>45928</v>
      </c>
      <c r="F46" s="28">
        <v>59</v>
      </c>
      <c r="G46" t="s">
        <v>129</v>
      </c>
    </row>
    <row r="47" spans="2:7" ht="14.45" customHeight="1" x14ac:dyDescent="0.25">
      <c r="B47" s="9">
        <v>67</v>
      </c>
      <c r="C47" s="3" t="s">
        <v>70</v>
      </c>
      <c r="D47" s="3" t="s">
        <v>6</v>
      </c>
      <c r="E47" s="8">
        <v>45931</v>
      </c>
      <c r="F47" s="28">
        <v>63</v>
      </c>
      <c r="G47" t="s">
        <v>14</v>
      </c>
    </row>
    <row r="48" spans="2:7" ht="14.45" customHeight="1" x14ac:dyDescent="0.25">
      <c r="B48" s="9">
        <v>90</v>
      </c>
      <c r="C48" s="3" t="s">
        <v>71</v>
      </c>
      <c r="D48" s="3" t="s">
        <v>16</v>
      </c>
      <c r="E48" s="8">
        <v>45934</v>
      </c>
      <c r="F48" s="28">
        <v>45</v>
      </c>
      <c r="G48" t="s">
        <v>14</v>
      </c>
    </row>
    <row r="49" spans="1:7" ht="14.45" customHeight="1" x14ac:dyDescent="0.25">
      <c r="B49" s="54">
        <v>98</v>
      </c>
      <c r="C49" s="54" t="s">
        <v>67</v>
      </c>
      <c r="D49" s="54" t="s">
        <v>68</v>
      </c>
      <c r="E49" s="71">
        <v>45930</v>
      </c>
      <c r="F49" s="53">
        <v>53</v>
      </c>
      <c r="G49" t="s">
        <v>14</v>
      </c>
    </row>
    <row r="51" spans="1:7" ht="14.45" customHeight="1" x14ac:dyDescent="0.25">
      <c r="A51" s="78"/>
      <c r="B51" s="78"/>
      <c r="C51" s="78"/>
      <c r="D51" s="78"/>
      <c r="E51" s="78"/>
      <c r="F51" s="78"/>
      <c r="G51" s="78"/>
    </row>
    <row r="53" spans="1:7" ht="14.45" customHeight="1" x14ac:dyDescent="0.25">
      <c r="A53" s="156" t="s">
        <v>253</v>
      </c>
      <c r="B53" s="156"/>
      <c r="C53" s="156"/>
      <c r="D53" s="156"/>
      <c r="E53" s="156"/>
      <c r="F53" s="156"/>
      <c r="G53" s="156"/>
    </row>
    <row r="55" spans="1:7" ht="14.45" customHeight="1" x14ac:dyDescent="0.25">
      <c r="B55" s="157" t="s">
        <v>199</v>
      </c>
      <c r="C55" s="157"/>
      <c r="D55" s="157"/>
      <c r="E55" s="157"/>
      <c r="F55" s="157"/>
    </row>
    <row r="56" spans="1:7" ht="14.45" customHeight="1" x14ac:dyDescent="0.25">
      <c r="B56" s="10" t="s">
        <v>0</v>
      </c>
      <c r="C56" s="69" t="s">
        <v>1</v>
      </c>
      <c r="D56" s="10" t="s">
        <v>128</v>
      </c>
      <c r="E56" s="10" t="s">
        <v>120</v>
      </c>
      <c r="F56" s="17" t="s">
        <v>2</v>
      </c>
    </row>
    <row r="57" spans="1:7" ht="14.45" customHeight="1" x14ac:dyDescent="0.25">
      <c r="B57" s="75">
        <v>44</v>
      </c>
      <c r="C57" s="14" t="s">
        <v>105</v>
      </c>
      <c r="D57" s="14" t="s">
        <v>6</v>
      </c>
      <c r="E57" s="76">
        <v>45936.125</v>
      </c>
      <c r="F57" s="13">
        <v>26</v>
      </c>
    </row>
    <row r="58" spans="1:7" ht="14.45" customHeight="1" x14ac:dyDescent="0.25">
      <c r="B58" s="75">
        <v>50</v>
      </c>
      <c r="C58" s="14" t="s">
        <v>102</v>
      </c>
      <c r="D58" s="14" t="s">
        <v>6</v>
      </c>
      <c r="E58" s="76">
        <v>45941.5</v>
      </c>
      <c r="F58" s="13">
        <v>55</v>
      </c>
    </row>
    <row r="59" spans="1:7" ht="14.45" customHeight="1" x14ac:dyDescent="0.25">
      <c r="B59" s="75">
        <v>54</v>
      </c>
      <c r="C59" s="14" t="s">
        <v>113</v>
      </c>
      <c r="D59" s="14" t="s">
        <v>16</v>
      </c>
      <c r="E59" s="76">
        <v>45940.875</v>
      </c>
      <c r="F59" s="13">
        <v>49</v>
      </c>
    </row>
    <row r="60" spans="1:7" ht="14.45" customHeight="1" x14ac:dyDescent="0.25">
      <c r="B60" s="17">
        <v>82</v>
      </c>
      <c r="C60" s="11" t="s">
        <v>79</v>
      </c>
      <c r="D60" s="11" t="s">
        <v>6</v>
      </c>
      <c r="E60" s="76">
        <v>45938.63636363636</v>
      </c>
      <c r="F60" s="13">
        <v>63</v>
      </c>
    </row>
    <row r="61" spans="1:7" ht="14.45" customHeight="1" x14ac:dyDescent="0.25">
      <c r="B61" s="17">
        <v>101</v>
      </c>
      <c r="C61" s="11" t="s">
        <v>108</v>
      </c>
      <c r="D61" s="11" t="s">
        <v>12</v>
      </c>
      <c r="E61" s="76">
        <v>45935</v>
      </c>
      <c r="F61" s="13">
        <v>23</v>
      </c>
    </row>
    <row r="62" spans="1:7" ht="14.45" customHeight="1" x14ac:dyDescent="0.25">
      <c r="B62" s="17">
        <v>105</v>
      </c>
      <c r="C62" s="11" t="s">
        <v>96</v>
      </c>
      <c r="D62" s="11" t="s">
        <v>12</v>
      </c>
      <c r="E62" s="76">
        <v>45941.647058823532</v>
      </c>
      <c r="F62" s="13">
        <v>30</v>
      </c>
    </row>
    <row r="64" spans="1:7" ht="14.45" customHeight="1" x14ac:dyDescent="0.25">
      <c r="B64" s="163" t="s">
        <v>200</v>
      </c>
      <c r="C64" s="163"/>
      <c r="D64" s="5" t="s">
        <v>201</v>
      </c>
      <c r="E64" s="5" t="s">
        <v>144</v>
      </c>
      <c r="F64" s="5" t="s">
        <v>143</v>
      </c>
    </row>
    <row r="67" spans="1:7" ht="14.45" customHeight="1" x14ac:dyDescent="0.25">
      <c r="B67" s="157" t="s">
        <v>202</v>
      </c>
      <c r="C67" s="157"/>
      <c r="D67" s="157"/>
      <c r="E67" s="157"/>
      <c r="F67" s="157"/>
    </row>
    <row r="68" spans="1:7" ht="14.45" customHeight="1" x14ac:dyDescent="0.25">
      <c r="B68" s="10" t="s">
        <v>0</v>
      </c>
      <c r="C68" s="69" t="s">
        <v>1</v>
      </c>
      <c r="D68" s="10" t="s">
        <v>128</v>
      </c>
      <c r="E68" s="10" t="s">
        <v>120</v>
      </c>
      <c r="F68" s="17" t="s">
        <v>2</v>
      </c>
    </row>
    <row r="69" spans="1:7" ht="14.45" customHeight="1" x14ac:dyDescent="0.25">
      <c r="B69" s="9">
        <v>62</v>
      </c>
      <c r="C69" s="3" t="s">
        <v>149</v>
      </c>
      <c r="D69" s="3" t="s">
        <v>6</v>
      </c>
      <c r="E69" s="8">
        <v>45940</v>
      </c>
      <c r="F69" s="40">
        <v>65</v>
      </c>
    </row>
    <row r="70" spans="1:7" ht="14.45" customHeight="1" x14ac:dyDescent="0.25">
      <c r="B70" s="9">
        <v>68</v>
      </c>
      <c r="C70" s="3" t="s">
        <v>115</v>
      </c>
      <c r="D70" s="3" t="s">
        <v>6</v>
      </c>
      <c r="E70" s="8">
        <v>45935.444444444445</v>
      </c>
      <c r="F70" s="40">
        <v>65</v>
      </c>
    </row>
    <row r="71" spans="1:7" ht="14.45" customHeight="1" x14ac:dyDescent="0.25">
      <c r="B71" s="17">
        <v>92</v>
      </c>
      <c r="C71" s="11" t="s">
        <v>53</v>
      </c>
      <c r="D71" s="11" t="s">
        <v>16</v>
      </c>
      <c r="E71" s="76">
        <v>45955.333333333336</v>
      </c>
      <c r="F71" s="13">
        <v>26</v>
      </c>
    </row>
    <row r="72" spans="1:7" ht="14.45" customHeight="1" x14ac:dyDescent="0.25">
      <c r="B72" s="18"/>
      <c r="C72" s="5"/>
      <c r="D72" s="5"/>
      <c r="E72" s="5"/>
      <c r="F72" s="5"/>
    </row>
    <row r="73" spans="1:7" ht="14.45" customHeight="1" x14ac:dyDescent="0.25">
      <c r="B73" s="18"/>
      <c r="C73" s="5"/>
      <c r="D73" s="5"/>
      <c r="E73" s="51"/>
      <c r="F73" s="5"/>
    </row>
    <row r="74" spans="1:7" ht="14.45" customHeight="1" x14ac:dyDescent="0.25">
      <c r="B74" s="162" t="s">
        <v>198</v>
      </c>
      <c r="C74" s="162"/>
      <c r="D74" s="162"/>
      <c r="E74" s="162"/>
      <c r="F74" s="162"/>
    </row>
    <row r="75" spans="1:7" ht="14.45" customHeight="1" x14ac:dyDescent="0.25">
      <c r="B75" s="10" t="s">
        <v>0</v>
      </c>
      <c r="C75" s="69" t="s">
        <v>1</v>
      </c>
      <c r="D75" s="10" t="s">
        <v>128</v>
      </c>
      <c r="E75" s="10" t="s">
        <v>120</v>
      </c>
      <c r="F75" s="9" t="s">
        <v>2</v>
      </c>
    </row>
    <row r="76" spans="1:7" ht="14.45" customHeight="1" x14ac:dyDescent="0.25">
      <c r="B76" s="9">
        <v>95</v>
      </c>
      <c r="C76" s="3" t="s">
        <v>111</v>
      </c>
      <c r="D76" s="3" t="s">
        <v>16</v>
      </c>
      <c r="E76" s="76">
        <v>45941</v>
      </c>
      <c r="F76" s="3">
        <v>67</v>
      </c>
      <c r="G76" t="s">
        <v>129</v>
      </c>
    </row>
    <row r="77" spans="1:7" ht="14.45" customHeight="1" x14ac:dyDescent="0.25">
      <c r="B77" s="9"/>
      <c r="C77" s="3"/>
      <c r="D77" s="3"/>
      <c r="E77" s="61"/>
      <c r="F77" s="3"/>
    </row>
    <row r="79" spans="1:7" ht="14.45" customHeight="1" x14ac:dyDescent="0.25">
      <c r="A79" s="78"/>
      <c r="B79" s="78"/>
      <c r="C79" s="78"/>
      <c r="D79" s="78"/>
      <c r="E79" s="78"/>
      <c r="F79" s="78"/>
      <c r="G79" s="78"/>
    </row>
    <row r="81" spans="1:7" ht="14.45" customHeight="1" x14ac:dyDescent="0.25">
      <c r="A81" s="156" t="s">
        <v>254</v>
      </c>
      <c r="B81" s="156"/>
      <c r="C81" s="156"/>
      <c r="D81" s="156"/>
      <c r="E81" s="156"/>
      <c r="F81" s="156"/>
      <c r="G81" s="156"/>
    </row>
    <row r="83" spans="1:7" ht="14.45" customHeight="1" x14ac:dyDescent="0.25">
      <c r="B83" s="157" t="s">
        <v>207</v>
      </c>
      <c r="C83" s="157"/>
      <c r="D83" s="157"/>
      <c r="E83" s="157"/>
      <c r="F83" s="157"/>
    </row>
    <row r="84" spans="1:7" ht="14.45" customHeight="1" x14ac:dyDescent="0.25">
      <c r="B84" s="10" t="s">
        <v>0</v>
      </c>
      <c r="C84" s="69" t="s">
        <v>1</v>
      </c>
      <c r="D84" s="10" t="s">
        <v>128</v>
      </c>
      <c r="E84" s="10" t="s">
        <v>120</v>
      </c>
      <c r="F84" s="17" t="s">
        <v>2</v>
      </c>
    </row>
    <row r="85" spans="1:7" ht="14.45" customHeight="1" x14ac:dyDescent="0.25">
      <c r="B85" s="75">
        <v>11</v>
      </c>
      <c r="C85" s="14" t="s">
        <v>75</v>
      </c>
      <c r="D85" s="14" t="s">
        <v>6</v>
      </c>
      <c r="E85" s="76">
        <v>45945.25</v>
      </c>
      <c r="F85" s="13">
        <v>66</v>
      </c>
    </row>
    <row r="86" spans="1:7" ht="14.45" customHeight="1" x14ac:dyDescent="0.25">
      <c r="B86" s="75">
        <v>73</v>
      </c>
      <c r="C86" s="14" t="s">
        <v>86</v>
      </c>
      <c r="D86" s="14" t="s">
        <v>6</v>
      </c>
      <c r="E86" s="76">
        <v>45947.444444444445</v>
      </c>
      <c r="F86" s="13">
        <v>63</v>
      </c>
    </row>
    <row r="87" spans="1:7" ht="14.45" customHeight="1" x14ac:dyDescent="0.25">
      <c r="B87" s="75">
        <v>88</v>
      </c>
      <c r="C87" s="14" t="s">
        <v>99</v>
      </c>
      <c r="D87" s="14" t="s">
        <v>6</v>
      </c>
      <c r="E87" s="76">
        <v>45944.25</v>
      </c>
      <c r="F87" s="13">
        <v>68</v>
      </c>
    </row>
    <row r="88" spans="1:7" ht="14.45" customHeight="1" x14ac:dyDescent="0.25">
      <c r="B88" s="17">
        <v>108</v>
      </c>
      <c r="C88" s="11" t="s">
        <v>97</v>
      </c>
      <c r="D88" s="11" t="s">
        <v>12</v>
      </c>
      <c r="E88" s="76">
        <v>45942.125</v>
      </c>
      <c r="F88" s="13">
        <v>30</v>
      </c>
    </row>
    <row r="90" spans="1:7" ht="14.45" customHeight="1" x14ac:dyDescent="0.25">
      <c r="B90" s="12" t="s">
        <v>200</v>
      </c>
      <c r="C90" s="5">
        <v>84</v>
      </c>
      <c r="D90" s="5">
        <v>83</v>
      </c>
      <c r="E90" s="5">
        <v>69</v>
      </c>
      <c r="F90" s="5">
        <v>36</v>
      </c>
    </row>
    <row r="91" spans="1:7" ht="14.45" customHeight="1" x14ac:dyDescent="0.25">
      <c r="C91" s="5">
        <v>44</v>
      </c>
      <c r="D91" s="5">
        <v>47</v>
      </c>
      <c r="E91" s="51">
        <v>105</v>
      </c>
      <c r="F91" s="5"/>
    </row>
    <row r="93" spans="1:7" ht="14.45" customHeight="1" x14ac:dyDescent="0.25">
      <c r="B93" s="162" t="s">
        <v>206</v>
      </c>
      <c r="C93" s="162"/>
      <c r="D93" s="162"/>
      <c r="E93" s="162"/>
      <c r="F93" s="162"/>
    </row>
    <row r="94" spans="1:7" ht="14.45" customHeight="1" x14ac:dyDescent="0.25">
      <c r="B94" s="10" t="s">
        <v>0</v>
      </c>
      <c r="C94" s="69" t="s">
        <v>1</v>
      </c>
      <c r="D94" s="10" t="s">
        <v>128</v>
      </c>
      <c r="E94" s="10" t="s">
        <v>120</v>
      </c>
      <c r="F94" s="9" t="s">
        <v>2</v>
      </c>
    </row>
    <row r="95" spans="1:7" ht="14.45" customHeight="1" x14ac:dyDescent="0.25">
      <c r="B95" s="9">
        <v>70</v>
      </c>
      <c r="C95" s="3" t="s">
        <v>109</v>
      </c>
      <c r="D95" s="3" t="s">
        <v>6</v>
      </c>
      <c r="E95" s="8">
        <v>45946</v>
      </c>
      <c r="F95" s="3">
        <v>45</v>
      </c>
      <c r="G95" t="s">
        <v>129</v>
      </c>
    </row>
    <row r="96" spans="1:7" ht="14.45" customHeight="1" x14ac:dyDescent="0.25">
      <c r="B96" s="9">
        <v>96</v>
      </c>
      <c r="C96" s="3" t="s">
        <v>112</v>
      </c>
      <c r="D96" s="3" t="s">
        <v>16</v>
      </c>
      <c r="E96" s="8">
        <v>45949</v>
      </c>
      <c r="F96" s="3">
        <v>53</v>
      </c>
      <c r="G96" t="s">
        <v>129</v>
      </c>
    </row>
    <row r="97" spans="1:7" ht="14.45" customHeight="1" x14ac:dyDescent="0.25">
      <c r="B97" s="9">
        <v>51</v>
      </c>
      <c r="C97" s="3" t="s">
        <v>69</v>
      </c>
      <c r="D97" s="3" t="s">
        <v>6</v>
      </c>
      <c r="E97" s="8">
        <v>45942</v>
      </c>
      <c r="F97" s="3">
        <v>65</v>
      </c>
      <c r="G97" t="s">
        <v>14</v>
      </c>
    </row>
    <row r="98" spans="1:7" ht="14.45" customHeight="1" x14ac:dyDescent="0.25">
      <c r="B98" s="9">
        <v>75</v>
      </c>
      <c r="C98" s="3" t="s">
        <v>80</v>
      </c>
      <c r="D98" s="3" t="s">
        <v>6</v>
      </c>
      <c r="E98" s="8">
        <v>45948</v>
      </c>
      <c r="F98" s="3">
        <v>65</v>
      </c>
      <c r="G98" t="s">
        <v>14</v>
      </c>
    </row>
    <row r="100" spans="1:7" ht="14.45" customHeight="1" x14ac:dyDescent="0.25">
      <c r="A100" s="78"/>
      <c r="B100" s="78"/>
      <c r="C100" s="78"/>
      <c r="D100" s="78"/>
      <c r="E100" s="78"/>
      <c r="F100" s="78"/>
      <c r="G100" s="78"/>
    </row>
    <row r="102" spans="1:7" ht="14.45" customHeight="1" x14ac:dyDescent="0.25">
      <c r="A102" s="156" t="s">
        <v>255</v>
      </c>
      <c r="B102" s="156"/>
      <c r="C102" s="156"/>
      <c r="D102" s="156"/>
      <c r="E102" s="156"/>
      <c r="F102" s="156"/>
      <c r="G102" s="156"/>
    </row>
    <row r="104" spans="1:7" ht="14.45" customHeight="1" x14ac:dyDescent="0.25">
      <c r="B104" s="157" t="s">
        <v>211</v>
      </c>
      <c r="C104" s="157"/>
      <c r="D104" s="157"/>
      <c r="E104" s="157"/>
      <c r="F104" s="157"/>
    </row>
    <row r="105" spans="1:7" ht="14.45" customHeight="1" x14ac:dyDescent="0.25">
      <c r="B105" s="10" t="s">
        <v>0</v>
      </c>
      <c r="C105" s="69" t="s">
        <v>1</v>
      </c>
      <c r="D105" s="10" t="s">
        <v>128</v>
      </c>
      <c r="E105" s="10" t="s">
        <v>120</v>
      </c>
      <c r="F105" s="17" t="s">
        <v>2</v>
      </c>
    </row>
    <row r="106" spans="1:7" ht="14.45" customHeight="1" x14ac:dyDescent="0.25">
      <c r="B106" s="75">
        <v>63</v>
      </c>
      <c r="C106" s="14" t="s">
        <v>101</v>
      </c>
      <c r="D106" s="14" t="s">
        <v>6</v>
      </c>
      <c r="E106" s="76">
        <v>45949</v>
      </c>
      <c r="F106" s="13">
        <v>39</v>
      </c>
    </row>
    <row r="107" spans="1:7" ht="14.45" customHeight="1" x14ac:dyDescent="0.25">
      <c r="B107" s="75">
        <v>67</v>
      </c>
      <c r="C107" s="14" t="s">
        <v>70</v>
      </c>
      <c r="D107" s="14" t="s">
        <v>6</v>
      </c>
      <c r="E107" s="76">
        <v>45951.483870967742</v>
      </c>
      <c r="F107" s="13">
        <v>63</v>
      </c>
    </row>
    <row r="108" spans="1:7" ht="14.45" customHeight="1" x14ac:dyDescent="0.25">
      <c r="B108" s="75">
        <v>83</v>
      </c>
      <c r="C108" s="14" t="s">
        <v>61</v>
      </c>
      <c r="D108" s="14" t="s">
        <v>6</v>
      </c>
      <c r="E108" s="76">
        <v>45951.333333333336</v>
      </c>
      <c r="F108" s="13">
        <v>46</v>
      </c>
    </row>
    <row r="109" spans="1:7" ht="14.45" customHeight="1" x14ac:dyDescent="0.25">
      <c r="B109" s="17">
        <v>92</v>
      </c>
      <c r="C109" s="11" t="s">
        <v>53</v>
      </c>
      <c r="D109" s="11" t="s">
        <v>16</v>
      </c>
      <c r="E109" s="76">
        <v>45955.333333333336</v>
      </c>
      <c r="F109" s="13">
        <v>26</v>
      </c>
    </row>
    <row r="111" spans="1:7" ht="14.45" customHeight="1" x14ac:dyDescent="0.25">
      <c r="B111" s="161" t="s">
        <v>200</v>
      </c>
      <c r="C111" s="5">
        <v>73</v>
      </c>
      <c r="D111" s="5">
        <v>88</v>
      </c>
      <c r="E111" s="5">
        <v>54</v>
      </c>
      <c r="F111" s="5">
        <v>84</v>
      </c>
    </row>
    <row r="112" spans="1:7" ht="14.45" customHeight="1" x14ac:dyDescent="0.25">
      <c r="B112" s="161"/>
      <c r="C112" s="5">
        <v>69</v>
      </c>
      <c r="D112" s="5">
        <v>101</v>
      </c>
      <c r="E112" s="51">
        <v>92</v>
      </c>
      <c r="F112" s="5"/>
    </row>
    <row r="114" spans="1:7" ht="14.45" customHeight="1" x14ac:dyDescent="0.25">
      <c r="B114" s="162" t="s">
        <v>210</v>
      </c>
      <c r="C114" s="162"/>
      <c r="D114" s="162"/>
      <c r="E114" s="162"/>
      <c r="F114" s="162"/>
    </row>
    <row r="115" spans="1:7" ht="14.45" customHeight="1" x14ac:dyDescent="0.25">
      <c r="B115" s="10" t="s">
        <v>0</v>
      </c>
      <c r="C115" s="69" t="s">
        <v>1</v>
      </c>
      <c r="D115" s="10" t="s">
        <v>128</v>
      </c>
      <c r="E115" s="10" t="s">
        <v>120</v>
      </c>
      <c r="F115" s="9" t="s">
        <v>2</v>
      </c>
    </row>
    <row r="116" spans="1:7" ht="14.45" customHeight="1" x14ac:dyDescent="0.25">
      <c r="B116" s="9">
        <v>96</v>
      </c>
      <c r="C116" s="3" t="s">
        <v>112</v>
      </c>
      <c r="D116" s="3" t="s">
        <v>16</v>
      </c>
      <c r="E116" s="8">
        <v>45949</v>
      </c>
      <c r="F116" s="3">
        <v>53</v>
      </c>
      <c r="G116" t="s">
        <v>129</v>
      </c>
    </row>
    <row r="117" spans="1:7" ht="14.45" customHeight="1" x14ac:dyDescent="0.25">
      <c r="B117" s="9">
        <v>74</v>
      </c>
      <c r="C117" s="3" t="s">
        <v>74</v>
      </c>
      <c r="D117" s="3" t="s">
        <v>6</v>
      </c>
      <c r="E117" s="8">
        <v>45950</v>
      </c>
      <c r="F117" s="3">
        <v>66</v>
      </c>
      <c r="G117" t="s">
        <v>14</v>
      </c>
    </row>
    <row r="118" spans="1:7" ht="14.45" customHeight="1" x14ac:dyDescent="0.25">
      <c r="B118" s="9"/>
      <c r="C118" s="3"/>
      <c r="D118" s="3"/>
      <c r="E118" s="8"/>
      <c r="F118" s="3"/>
    </row>
    <row r="120" spans="1:7" ht="14.45" customHeight="1" x14ac:dyDescent="0.25">
      <c r="A120" s="78"/>
      <c r="B120" s="78"/>
      <c r="C120" s="78"/>
      <c r="D120" s="78"/>
      <c r="E120" s="78"/>
      <c r="F120" s="78"/>
      <c r="G120" s="78"/>
    </row>
    <row r="122" spans="1:7" ht="14.45" customHeight="1" x14ac:dyDescent="0.25">
      <c r="A122" s="156" t="s">
        <v>256</v>
      </c>
      <c r="B122" s="156"/>
      <c r="C122" s="156"/>
      <c r="D122" s="156"/>
      <c r="E122" s="156"/>
      <c r="F122" s="156"/>
      <c r="G122" s="156"/>
    </row>
    <row r="124" spans="1:7" ht="14.45" customHeight="1" x14ac:dyDescent="0.25">
      <c r="B124" s="157" t="s">
        <v>217</v>
      </c>
      <c r="C124" s="157"/>
      <c r="D124" s="157"/>
      <c r="E124" s="157"/>
      <c r="F124" s="157"/>
    </row>
    <row r="125" spans="1:7" ht="14.45" customHeight="1" x14ac:dyDescent="0.25">
      <c r="B125" s="10" t="s">
        <v>0</v>
      </c>
      <c r="C125" s="69" t="s">
        <v>1</v>
      </c>
      <c r="D125" s="10" t="s">
        <v>128</v>
      </c>
      <c r="E125" s="10" t="s">
        <v>120</v>
      </c>
      <c r="F125" s="17" t="s">
        <v>2</v>
      </c>
    </row>
    <row r="126" spans="1:7" ht="14.45" customHeight="1" x14ac:dyDescent="0.25">
      <c r="B126" s="75">
        <v>60</v>
      </c>
      <c r="C126" s="14" t="s">
        <v>77</v>
      </c>
      <c r="D126" s="14" t="s">
        <v>6</v>
      </c>
      <c r="E126" s="76">
        <v>45963</v>
      </c>
      <c r="F126" s="15">
        <v>59</v>
      </c>
    </row>
    <row r="127" spans="1:7" ht="14.45" customHeight="1" x14ac:dyDescent="0.25">
      <c r="B127" s="75">
        <v>72</v>
      </c>
      <c r="C127" s="14" t="s">
        <v>62</v>
      </c>
      <c r="D127" s="14" t="s">
        <v>6</v>
      </c>
      <c r="E127" s="76">
        <v>45960.666666666664</v>
      </c>
      <c r="F127" s="15">
        <v>65</v>
      </c>
    </row>
    <row r="128" spans="1:7" ht="14.45" customHeight="1" x14ac:dyDescent="0.25">
      <c r="B128" s="75">
        <v>90</v>
      </c>
      <c r="C128" s="14" t="s">
        <v>71</v>
      </c>
      <c r="D128" s="14" t="s">
        <v>16</v>
      </c>
      <c r="E128" s="76">
        <v>45961.666666666664</v>
      </c>
      <c r="F128" s="15">
        <v>45</v>
      </c>
    </row>
    <row r="129" spans="2:6" ht="14.45" customHeight="1" x14ac:dyDescent="0.25">
      <c r="B129" s="17">
        <v>98</v>
      </c>
      <c r="C129" s="11" t="s">
        <v>67</v>
      </c>
      <c r="D129" s="11" t="s">
        <v>68</v>
      </c>
      <c r="E129" s="76">
        <v>45961</v>
      </c>
      <c r="F129" s="15">
        <v>53</v>
      </c>
    </row>
    <row r="130" spans="2:6" ht="14.45" customHeight="1" x14ac:dyDescent="0.25">
      <c r="B130" s="17">
        <v>99</v>
      </c>
      <c r="C130" s="11" t="s">
        <v>63</v>
      </c>
      <c r="D130" s="11" t="s">
        <v>16</v>
      </c>
      <c r="E130" s="76">
        <v>45957.714285714283</v>
      </c>
      <c r="F130" s="15">
        <v>64</v>
      </c>
    </row>
    <row r="131" spans="2:6" ht="14.45" customHeight="1" x14ac:dyDescent="0.25">
      <c r="B131" s="17">
        <v>100</v>
      </c>
      <c r="C131" s="11" t="s">
        <v>117</v>
      </c>
      <c r="D131" s="11" t="s">
        <v>12</v>
      </c>
      <c r="E131" s="76">
        <v>45959</v>
      </c>
      <c r="F131" s="15">
        <v>50</v>
      </c>
    </row>
    <row r="132" spans="2:6" ht="14.45" customHeight="1" x14ac:dyDescent="0.25">
      <c r="B132" s="49"/>
      <c r="C132" s="5"/>
      <c r="D132" s="5"/>
      <c r="E132" s="77"/>
      <c r="F132" s="7"/>
    </row>
    <row r="133" spans="2:6" ht="14.45" customHeight="1" x14ac:dyDescent="0.25">
      <c r="B133" s="161" t="s">
        <v>200</v>
      </c>
      <c r="C133" s="5">
        <v>83</v>
      </c>
      <c r="D133" s="5">
        <v>69</v>
      </c>
      <c r="E133" s="5">
        <v>67</v>
      </c>
      <c r="F133" s="5">
        <v>84</v>
      </c>
    </row>
    <row r="134" spans="2:6" ht="14.45" customHeight="1" x14ac:dyDescent="0.25">
      <c r="B134" s="161"/>
      <c r="C134" s="5">
        <v>63</v>
      </c>
      <c r="D134" s="5">
        <v>88</v>
      </c>
      <c r="E134" s="51"/>
      <c r="F134" s="5"/>
    </row>
    <row r="135" spans="2:6" ht="14.45" customHeight="1" x14ac:dyDescent="0.25">
      <c r="B135" s="4"/>
      <c r="C135" s="5"/>
      <c r="D135" s="5"/>
      <c r="E135" s="51"/>
      <c r="F135" s="5"/>
    </row>
    <row r="136" spans="2:6" ht="14.45" customHeight="1" x14ac:dyDescent="0.25">
      <c r="B136" s="4"/>
      <c r="C136" s="5"/>
      <c r="D136" s="5"/>
      <c r="E136" s="51"/>
      <c r="F136" s="5"/>
    </row>
    <row r="137" spans="2:6" ht="14.45" customHeight="1" x14ac:dyDescent="0.25">
      <c r="B137" s="157" t="s">
        <v>218</v>
      </c>
      <c r="C137" s="157"/>
      <c r="D137" s="157"/>
      <c r="E137" s="157"/>
      <c r="F137" s="157"/>
    </row>
    <row r="138" spans="2:6" ht="14.45" customHeight="1" x14ac:dyDescent="0.25">
      <c r="B138" s="10" t="s">
        <v>0</v>
      </c>
      <c r="C138" s="69" t="s">
        <v>1</v>
      </c>
      <c r="D138" s="10" t="s">
        <v>128</v>
      </c>
      <c r="E138" s="10" t="s">
        <v>120</v>
      </c>
      <c r="F138" s="17" t="s">
        <v>2</v>
      </c>
    </row>
    <row r="139" spans="2:6" ht="14.45" customHeight="1" x14ac:dyDescent="0.25">
      <c r="B139" s="17">
        <v>64</v>
      </c>
      <c r="C139" s="11" t="s">
        <v>181</v>
      </c>
      <c r="D139" s="11" t="s">
        <v>6</v>
      </c>
      <c r="E139" s="8">
        <v>45961.176470588238</v>
      </c>
      <c r="F139" s="11">
        <v>67</v>
      </c>
    </row>
    <row r="140" spans="2:6" ht="14.45" customHeight="1" x14ac:dyDescent="0.25">
      <c r="B140" s="17">
        <v>82</v>
      </c>
      <c r="C140" s="11" t="s">
        <v>147</v>
      </c>
      <c r="D140" s="11" t="s">
        <v>6</v>
      </c>
      <c r="E140" s="8">
        <v>45959.352941176468</v>
      </c>
      <c r="F140" s="11">
        <v>65</v>
      </c>
    </row>
    <row r="141" spans="2:6" ht="14.45" customHeight="1" x14ac:dyDescent="0.25">
      <c r="B141" s="49"/>
      <c r="C141" s="5"/>
      <c r="D141" s="5"/>
      <c r="E141" s="2"/>
      <c r="F141" s="5"/>
    </row>
    <row r="143" spans="2:6" ht="14.45" customHeight="1" x14ac:dyDescent="0.25">
      <c r="B143" s="157" t="s">
        <v>219</v>
      </c>
      <c r="C143" s="157"/>
      <c r="D143" s="157"/>
      <c r="E143" s="157"/>
      <c r="F143" s="157"/>
    </row>
    <row r="144" spans="2:6" ht="14.45" customHeight="1" x14ac:dyDescent="0.25">
      <c r="B144" s="10" t="s">
        <v>0</v>
      </c>
      <c r="C144" s="69" t="s">
        <v>1</v>
      </c>
      <c r="D144" s="10" t="s">
        <v>128</v>
      </c>
      <c r="E144" s="10" t="s">
        <v>120</v>
      </c>
      <c r="F144" s="17" t="s">
        <v>2</v>
      </c>
    </row>
    <row r="145" spans="1:7" ht="14.45" customHeight="1" x14ac:dyDescent="0.25">
      <c r="B145" s="9">
        <v>81</v>
      </c>
      <c r="C145" s="3" t="s">
        <v>78</v>
      </c>
      <c r="D145" s="3" t="s">
        <v>6</v>
      </c>
      <c r="E145" s="8">
        <v>45958</v>
      </c>
      <c r="F145" s="28">
        <v>34</v>
      </c>
      <c r="G145" t="s">
        <v>14</v>
      </c>
    </row>
    <row r="147" spans="1:7" ht="14.45" customHeight="1" x14ac:dyDescent="0.25">
      <c r="A147" s="78"/>
      <c r="B147" s="78"/>
      <c r="C147" s="78"/>
      <c r="D147" s="78"/>
      <c r="E147" s="78"/>
      <c r="F147" s="78"/>
      <c r="G147" s="78"/>
    </row>
    <row r="149" spans="1:7" ht="14.45" customHeight="1" x14ac:dyDescent="0.25">
      <c r="A149" s="156" t="s">
        <v>257</v>
      </c>
      <c r="B149" s="156"/>
      <c r="C149" s="156"/>
      <c r="D149" s="156"/>
      <c r="E149" s="156"/>
      <c r="F149" s="156"/>
      <c r="G149" s="156"/>
    </row>
    <row r="151" spans="1:7" ht="14.45" customHeight="1" x14ac:dyDescent="0.25">
      <c r="B151" s="157" t="s">
        <v>221</v>
      </c>
      <c r="C151" s="157"/>
      <c r="D151" s="157"/>
      <c r="E151" s="157"/>
      <c r="F151" s="157"/>
    </row>
    <row r="152" spans="1:7" ht="14.45" customHeight="1" x14ac:dyDescent="0.25">
      <c r="B152" s="10" t="s">
        <v>0</v>
      </c>
      <c r="C152" s="69" t="s">
        <v>1</v>
      </c>
      <c r="D152" s="10" t="s">
        <v>128</v>
      </c>
      <c r="E152" s="10" t="s">
        <v>120</v>
      </c>
      <c r="F152" s="17" t="s">
        <v>2</v>
      </c>
    </row>
    <row r="153" spans="1:7" ht="14.45" customHeight="1" x14ac:dyDescent="0.25">
      <c r="B153" s="17">
        <v>58</v>
      </c>
      <c r="C153" s="11" t="s">
        <v>103</v>
      </c>
      <c r="D153" s="11" t="s">
        <v>6</v>
      </c>
      <c r="E153" s="76">
        <v>45969</v>
      </c>
      <c r="F153" s="11">
        <v>58</v>
      </c>
    </row>
    <row r="154" spans="1:7" ht="14.45" customHeight="1" x14ac:dyDescent="0.25">
      <c r="B154" s="17">
        <v>79</v>
      </c>
      <c r="C154" s="11" t="s">
        <v>98</v>
      </c>
      <c r="D154" s="11" t="s">
        <v>6</v>
      </c>
      <c r="E154" s="76">
        <v>45966</v>
      </c>
      <c r="F154" s="11">
        <v>59</v>
      </c>
    </row>
    <row r="155" spans="1:7" ht="14.45" customHeight="1" x14ac:dyDescent="0.25">
      <c r="B155" s="17">
        <v>93</v>
      </c>
      <c r="C155" s="11" t="s">
        <v>56</v>
      </c>
      <c r="D155" s="11" t="s">
        <v>16</v>
      </c>
      <c r="E155" s="76">
        <v>45967</v>
      </c>
      <c r="F155" s="11">
        <v>65</v>
      </c>
    </row>
    <row r="156" spans="1:7" ht="14.45" customHeight="1" x14ac:dyDescent="0.25">
      <c r="B156" s="5"/>
      <c r="C156" s="5"/>
      <c r="D156" s="5"/>
      <c r="E156" s="5"/>
      <c r="F156" s="5"/>
    </row>
    <row r="157" spans="1:7" ht="14.45" customHeight="1" x14ac:dyDescent="0.25">
      <c r="B157" s="161" t="s">
        <v>200</v>
      </c>
      <c r="C157" s="5">
        <v>90</v>
      </c>
      <c r="D157" s="5">
        <v>98</v>
      </c>
      <c r="E157" s="5">
        <v>67</v>
      </c>
      <c r="F157" s="5">
        <v>91</v>
      </c>
    </row>
    <row r="158" spans="1:7" ht="14.45" customHeight="1" x14ac:dyDescent="0.25">
      <c r="B158" s="161"/>
      <c r="C158" s="5">
        <v>60</v>
      </c>
      <c r="D158" s="5">
        <v>63</v>
      </c>
      <c r="E158" s="51">
        <v>72</v>
      </c>
      <c r="F158" s="5"/>
    </row>
    <row r="159" spans="1:7" ht="14.45" customHeight="1" x14ac:dyDescent="0.25">
      <c r="B159" s="5"/>
      <c r="C159" s="5"/>
      <c r="D159" s="5"/>
      <c r="E159" s="5"/>
      <c r="F159" s="5"/>
    </row>
    <row r="160" spans="1:7" ht="14.45" customHeight="1" x14ac:dyDescent="0.25">
      <c r="B160" s="5"/>
      <c r="C160" s="5"/>
      <c r="D160" s="5"/>
      <c r="E160" s="5"/>
      <c r="F160" s="5"/>
    </row>
    <row r="161" spans="1:7" ht="14.45" customHeight="1" x14ac:dyDescent="0.25">
      <c r="B161" s="157" t="s">
        <v>222</v>
      </c>
      <c r="C161" s="157"/>
      <c r="D161" s="157"/>
      <c r="E161" s="157"/>
      <c r="F161" s="157"/>
    </row>
    <row r="162" spans="1:7" ht="14.45" customHeight="1" x14ac:dyDescent="0.25">
      <c r="B162" s="10" t="s">
        <v>0</v>
      </c>
      <c r="C162" s="69" t="s">
        <v>1</v>
      </c>
      <c r="D162" s="10" t="s">
        <v>128</v>
      </c>
      <c r="E162" s="10" t="s">
        <v>120</v>
      </c>
      <c r="F162" s="17" t="s">
        <v>2</v>
      </c>
    </row>
    <row r="163" spans="1:7" ht="14.45" customHeight="1" x14ac:dyDescent="0.25">
      <c r="B163" s="17" t="s">
        <v>223</v>
      </c>
      <c r="C163" s="11" t="s">
        <v>223</v>
      </c>
      <c r="D163" s="11" t="s">
        <v>223</v>
      </c>
      <c r="E163" s="8" t="s">
        <v>223</v>
      </c>
      <c r="F163" s="11" t="s">
        <v>223</v>
      </c>
    </row>
    <row r="164" spans="1:7" ht="14.45" customHeight="1" x14ac:dyDescent="0.25">
      <c r="B164" s="5"/>
      <c r="C164" s="5"/>
      <c r="D164" s="5"/>
      <c r="E164" s="5"/>
      <c r="F164" s="5"/>
    </row>
    <row r="165" spans="1:7" ht="14.45" customHeight="1" x14ac:dyDescent="0.25">
      <c r="B165" s="5"/>
      <c r="C165" s="5"/>
      <c r="D165" s="5"/>
      <c r="E165" s="5"/>
      <c r="F165" s="5"/>
    </row>
    <row r="166" spans="1:7" ht="14.45" customHeight="1" x14ac:dyDescent="0.25">
      <c r="B166" s="157" t="s">
        <v>224</v>
      </c>
      <c r="C166" s="157"/>
      <c r="D166" s="157"/>
      <c r="E166" s="157"/>
      <c r="F166" s="157"/>
    </row>
    <row r="167" spans="1:7" ht="14.45" customHeight="1" x14ac:dyDescent="0.25">
      <c r="B167" s="10" t="s">
        <v>0</v>
      </c>
      <c r="C167" s="69" t="s">
        <v>1</v>
      </c>
      <c r="D167" s="10" t="s">
        <v>128</v>
      </c>
      <c r="E167" s="10" t="s">
        <v>120</v>
      </c>
      <c r="F167" s="17" t="s">
        <v>2</v>
      </c>
    </row>
    <row r="168" spans="1:7" ht="14.45" customHeight="1" x14ac:dyDescent="0.25">
      <c r="B168" s="17">
        <v>60</v>
      </c>
      <c r="C168" s="11" t="s">
        <v>77</v>
      </c>
      <c r="D168" s="11" t="s">
        <v>6</v>
      </c>
      <c r="E168" s="76">
        <v>45968</v>
      </c>
      <c r="F168" s="11">
        <v>59</v>
      </c>
    </row>
    <row r="169" spans="1:7" ht="14.45" customHeight="1" x14ac:dyDescent="0.25">
      <c r="B169" s="17">
        <v>84</v>
      </c>
      <c r="C169" s="11" t="s">
        <v>91</v>
      </c>
      <c r="D169" s="11" t="s">
        <v>6</v>
      </c>
      <c r="E169" s="76">
        <v>45966</v>
      </c>
      <c r="F169" s="11">
        <v>72</v>
      </c>
    </row>
    <row r="170" spans="1:7" ht="14.45" customHeight="1" x14ac:dyDescent="0.25">
      <c r="B170" s="5"/>
      <c r="C170" s="5"/>
      <c r="D170" s="5"/>
      <c r="E170" s="5"/>
      <c r="F170" s="5"/>
    </row>
    <row r="171" spans="1:7" ht="14.45" customHeight="1" x14ac:dyDescent="0.25">
      <c r="A171" s="78"/>
      <c r="B171" s="79"/>
      <c r="C171" s="79"/>
      <c r="D171" s="79"/>
      <c r="E171" s="79"/>
      <c r="F171" s="79"/>
      <c r="G171" s="78"/>
    </row>
    <row r="172" spans="1:7" ht="14.45" customHeight="1" x14ac:dyDescent="0.25">
      <c r="B172" s="5"/>
      <c r="C172" s="5"/>
      <c r="D172" s="5"/>
      <c r="E172" s="5"/>
      <c r="F172" s="5"/>
    </row>
    <row r="173" spans="1:7" ht="14.45" customHeight="1" x14ac:dyDescent="0.25">
      <c r="A173" s="156" t="s">
        <v>258</v>
      </c>
      <c r="B173" s="156"/>
      <c r="C173" s="156"/>
      <c r="D173" s="156"/>
      <c r="E173" s="156"/>
      <c r="F173" s="156"/>
      <c r="G173" s="156"/>
    </row>
    <row r="174" spans="1:7" ht="14.45" customHeight="1" x14ac:dyDescent="0.25">
      <c r="B174" s="5"/>
      <c r="C174" s="5"/>
      <c r="D174" s="5"/>
      <c r="E174" s="5"/>
      <c r="F174" s="5"/>
    </row>
    <row r="175" spans="1:7" ht="14.45" customHeight="1" x14ac:dyDescent="0.25">
      <c r="B175" s="157" t="s">
        <v>230</v>
      </c>
      <c r="C175" s="157"/>
      <c r="D175" s="157"/>
      <c r="E175" s="157"/>
      <c r="F175" s="157"/>
    </row>
    <row r="176" spans="1:7" ht="14.45" customHeight="1" x14ac:dyDescent="0.25">
      <c r="B176" s="10" t="s">
        <v>0</v>
      </c>
      <c r="C176" s="69" t="s">
        <v>1</v>
      </c>
      <c r="D176" s="10" t="s">
        <v>128</v>
      </c>
      <c r="E176" s="10" t="s">
        <v>120</v>
      </c>
      <c r="F176" s="17" t="s">
        <v>2</v>
      </c>
    </row>
    <row r="177" spans="1:7" ht="14.45" customHeight="1" x14ac:dyDescent="0.25">
      <c r="B177" s="9">
        <v>74</v>
      </c>
      <c r="C177" s="3" t="s">
        <v>74</v>
      </c>
      <c r="D177" s="3" t="s">
        <v>6</v>
      </c>
      <c r="E177" s="77">
        <v>45976</v>
      </c>
      <c r="F177" s="28">
        <v>66</v>
      </c>
    </row>
    <row r="178" spans="1:7" ht="14.45" customHeight="1" x14ac:dyDescent="0.25">
      <c r="B178" s="9">
        <v>95</v>
      </c>
      <c r="C178" s="3" t="s">
        <v>111</v>
      </c>
      <c r="D178" s="3" t="s">
        <v>16</v>
      </c>
      <c r="E178" s="8">
        <v>45972</v>
      </c>
      <c r="F178" s="28">
        <v>67</v>
      </c>
    </row>
    <row r="180" spans="1:7" ht="14.45" customHeight="1" x14ac:dyDescent="0.25">
      <c r="B180" s="161" t="s">
        <v>200</v>
      </c>
      <c r="C180" s="5">
        <v>91</v>
      </c>
      <c r="D180" s="5">
        <v>79</v>
      </c>
      <c r="E180" s="5">
        <v>60</v>
      </c>
      <c r="F180" s="5">
        <v>98</v>
      </c>
    </row>
    <row r="181" spans="1:7" ht="14.45" customHeight="1" x14ac:dyDescent="0.25">
      <c r="B181" s="161"/>
      <c r="C181" s="5">
        <v>58</v>
      </c>
      <c r="D181" s="5"/>
      <c r="E181" s="51"/>
      <c r="F181" s="5"/>
    </row>
    <row r="183" spans="1:7" ht="14.45" customHeight="1" x14ac:dyDescent="0.25">
      <c r="B183" s="157" t="s">
        <v>231</v>
      </c>
      <c r="C183" s="157"/>
      <c r="D183" s="157"/>
      <c r="E183" s="157"/>
      <c r="F183" s="157"/>
    </row>
    <row r="184" spans="1:7" ht="14.45" customHeight="1" x14ac:dyDescent="0.25">
      <c r="B184" s="10" t="s">
        <v>0</v>
      </c>
      <c r="C184" s="69" t="s">
        <v>1</v>
      </c>
      <c r="D184" s="10" t="s">
        <v>128</v>
      </c>
      <c r="E184" s="10" t="s">
        <v>120</v>
      </c>
      <c r="F184" s="17" t="s">
        <v>2</v>
      </c>
    </row>
    <row r="185" spans="1:7" ht="14.45" customHeight="1" x14ac:dyDescent="0.25">
      <c r="B185" s="17" t="s">
        <v>223</v>
      </c>
      <c r="C185" s="11" t="s">
        <v>223</v>
      </c>
      <c r="D185" s="11" t="s">
        <v>223</v>
      </c>
      <c r="E185" s="8" t="s">
        <v>223</v>
      </c>
      <c r="F185" s="11" t="s">
        <v>223</v>
      </c>
    </row>
    <row r="187" spans="1:7" ht="14.45" customHeight="1" x14ac:dyDescent="0.25">
      <c r="B187" s="157" t="s">
        <v>232</v>
      </c>
      <c r="C187" s="157"/>
      <c r="D187" s="157"/>
      <c r="E187" s="157"/>
      <c r="F187" s="157"/>
    </row>
    <row r="188" spans="1:7" ht="14.45" customHeight="1" x14ac:dyDescent="0.25">
      <c r="B188" s="10" t="s">
        <v>0</v>
      </c>
      <c r="C188" s="69" t="s">
        <v>1</v>
      </c>
      <c r="D188" s="10" t="s">
        <v>128</v>
      </c>
      <c r="E188" s="10" t="s">
        <v>120</v>
      </c>
      <c r="F188" s="17" t="s">
        <v>2</v>
      </c>
    </row>
    <row r="189" spans="1:7" ht="14.45" customHeight="1" x14ac:dyDescent="0.25">
      <c r="B189" s="9">
        <v>87</v>
      </c>
      <c r="C189" s="3" t="s">
        <v>104</v>
      </c>
      <c r="D189" s="3" t="s">
        <v>6</v>
      </c>
      <c r="E189" s="8">
        <v>45973</v>
      </c>
      <c r="F189" s="28">
        <v>65</v>
      </c>
      <c r="G189" t="s">
        <v>14</v>
      </c>
    </row>
    <row r="191" spans="1:7" ht="14.45" customHeight="1" x14ac:dyDescent="0.25">
      <c r="A191" s="78"/>
      <c r="B191" s="78"/>
      <c r="C191" s="78"/>
      <c r="D191" s="78"/>
      <c r="E191" s="78"/>
      <c r="F191" s="78"/>
      <c r="G191" s="78"/>
    </row>
    <row r="193" spans="1:7" ht="14.45" customHeight="1" x14ac:dyDescent="0.25">
      <c r="A193" s="156" t="s">
        <v>259</v>
      </c>
      <c r="B193" s="156"/>
      <c r="C193" s="156"/>
      <c r="D193" s="156"/>
      <c r="E193" s="156"/>
      <c r="F193" s="156"/>
      <c r="G193" s="156"/>
    </row>
    <row r="195" spans="1:7" ht="14.45" customHeight="1" x14ac:dyDescent="0.25">
      <c r="B195" s="157" t="s">
        <v>235</v>
      </c>
      <c r="C195" s="157"/>
      <c r="D195" s="157"/>
      <c r="E195" s="157"/>
      <c r="F195" s="157"/>
    </row>
    <row r="196" spans="1:7" ht="14.45" customHeight="1" x14ac:dyDescent="0.25">
      <c r="B196" s="10" t="s">
        <v>0</v>
      </c>
      <c r="C196" s="69" t="s">
        <v>1</v>
      </c>
      <c r="D196" s="10" t="s">
        <v>128</v>
      </c>
      <c r="E196" s="10" t="s">
        <v>120</v>
      </c>
      <c r="F196" s="17" t="s">
        <v>2</v>
      </c>
    </row>
    <row r="197" spans="1:7" ht="14.45" customHeight="1" x14ac:dyDescent="0.25">
      <c r="B197" s="17">
        <v>65</v>
      </c>
      <c r="C197" s="11" t="s">
        <v>87</v>
      </c>
      <c r="D197" s="11" t="s">
        <v>6</v>
      </c>
      <c r="E197" s="76">
        <v>45978.294117647056</v>
      </c>
      <c r="F197" s="11">
        <v>63</v>
      </c>
    </row>
    <row r="198" spans="1:7" ht="14.45" customHeight="1" x14ac:dyDescent="0.25">
      <c r="B198" s="17">
        <v>73</v>
      </c>
      <c r="C198" s="11" t="s">
        <v>80</v>
      </c>
      <c r="D198" s="11" t="s">
        <v>6</v>
      </c>
      <c r="E198" s="76">
        <v>45981.311688311689</v>
      </c>
      <c r="F198" s="11">
        <v>65</v>
      </c>
    </row>
    <row r="199" spans="1:7" ht="14.45" customHeight="1" x14ac:dyDescent="0.25">
      <c r="B199" s="17">
        <v>96</v>
      </c>
      <c r="C199" s="11" t="s">
        <v>112</v>
      </c>
      <c r="D199" s="11" t="s">
        <v>16</v>
      </c>
      <c r="E199" s="76">
        <v>45979</v>
      </c>
      <c r="F199" s="11">
        <v>53</v>
      </c>
    </row>
    <row r="200" spans="1:7" ht="14.45" customHeight="1" x14ac:dyDescent="0.25">
      <c r="B200" s="17">
        <v>113</v>
      </c>
      <c r="C200" s="11" t="s">
        <v>142</v>
      </c>
      <c r="D200" s="11" t="s">
        <v>12</v>
      </c>
      <c r="E200" s="76">
        <v>45978</v>
      </c>
      <c r="F200" s="11">
        <v>50</v>
      </c>
    </row>
    <row r="202" spans="1:7" ht="14.45" customHeight="1" x14ac:dyDescent="0.25">
      <c r="B202" s="18" t="s">
        <v>200</v>
      </c>
      <c r="C202" s="5">
        <v>74</v>
      </c>
      <c r="D202" s="5">
        <v>98</v>
      </c>
    </row>
    <row r="203" spans="1:7" ht="14.45" customHeight="1" x14ac:dyDescent="0.25">
      <c r="B203" s="18"/>
    </row>
    <row r="205" spans="1:7" ht="14.45" customHeight="1" x14ac:dyDescent="0.25">
      <c r="B205" s="157" t="s">
        <v>236</v>
      </c>
      <c r="C205" s="157"/>
      <c r="D205" s="157"/>
      <c r="E205" s="157"/>
      <c r="F205" s="157"/>
    </row>
    <row r="206" spans="1:7" ht="14.45" customHeight="1" x14ac:dyDescent="0.25">
      <c r="B206" s="10" t="s">
        <v>0</v>
      </c>
      <c r="C206" s="69" t="s">
        <v>1</v>
      </c>
      <c r="D206" s="10" t="s">
        <v>128</v>
      </c>
      <c r="E206" s="10" t="s">
        <v>120</v>
      </c>
      <c r="F206" s="17" t="s">
        <v>2</v>
      </c>
    </row>
    <row r="207" spans="1:7" ht="14.45" customHeight="1" x14ac:dyDescent="0.25">
      <c r="B207" s="17" t="s">
        <v>223</v>
      </c>
      <c r="C207" s="11" t="s">
        <v>223</v>
      </c>
      <c r="D207" s="11" t="s">
        <v>223</v>
      </c>
      <c r="E207" s="8" t="s">
        <v>223</v>
      </c>
      <c r="F207" s="11" t="s">
        <v>223</v>
      </c>
    </row>
    <row r="210" spans="1:7" ht="14.45" customHeight="1" x14ac:dyDescent="0.25">
      <c r="B210" s="157" t="s">
        <v>237</v>
      </c>
      <c r="C210" s="157"/>
      <c r="D210" s="157"/>
      <c r="E210" s="157"/>
      <c r="F210" s="157"/>
    </row>
    <row r="211" spans="1:7" ht="14.45" customHeight="1" x14ac:dyDescent="0.25">
      <c r="B211" s="10" t="s">
        <v>0</v>
      </c>
      <c r="C211" s="69" t="s">
        <v>1</v>
      </c>
      <c r="D211" s="10" t="s">
        <v>128</v>
      </c>
      <c r="E211" s="10" t="s">
        <v>120</v>
      </c>
      <c r="F211" s="17" t="s">
        <v>2</v>
      </c>
    </row>
    <row r="212" spans="1:7" ht="14.45" customHeight="1" x14ac:dyDescent="0.25">
      <c r="B212" s="17">
        <v>86</v>
      </c>
      <c r="C212" s="11" t="s">
        <v>100</v>
      </c>
      <c r="D212" s="11" t="s">
        <v>6</v>
      </c>
      <c r="E212" s="76">
        <v>45984</v>
      </c>
      <c r="F212" s="11">
        <v>49</v>
      </c>
      <c r="G212" t="s">
        <v>238</v>
      </c>
    </row>
    <row r="214" spans="1:7" ht="14.45" customHeight="1" x14ac:dyDescent="0.25">
      <c r="A214" s="78"/>
      <c r="B214" s="78"/>
      <c r="C214" s="78"/>
      <c r="D214" s="78"/>
      <c r="E214" s="78"/>
      <c r="F214" s="78"/>
      <c r="G214" s="78"/>
    </row>
    <row r="216" spans="1:7" ht="14.45" customHeight="1" x14ac:dyDescent="0.25">
      <c r="A216" s="156" t="s">
        <v>264</v>
      </c>
      <c r="B216" s="156"/>
      <c r="C216" s="156"/>
      <c r="D216" s="156"/>
      <c r="E216" s="156"/>
      <c r="F216" s="156"/>
      <c r="G216" s="156"/>
    </row>
    <row r="217" spans="1:7" ht="14.45" customHeight="1" x14ac:dyDescent="0.25">
      <c r="A217" s="68"/>
      <c r="B217" s="68"/>
      <c r="C217" s="68"/>
      <c r="D217" s="68"/>
      <c r="E217" s="68"/>
      <c r="F217" s="68"/>
      <c r="G217" s="68"/>
    </row>
    <row r="218" spans="1:7" ht="14.45" customHeight="1" x14ac:dyDescent="0.25">
      <c r="B218" s="157" t="s">
        <v>260</v>
      </c>
      <c r="C218" s="157"/>
      <c r="D218" s="157"/>
      <c r="E218" s="157"/>
      <c r="F218" s="157"/>
    </row>
    <row r="219" spans="1:7" ht="14.45" customHeight="1" x14ac:dyDescent="0.25">
      <c r="B219" s="10" t="s">
        <v>0</v>
      </c>
      <c r="C219" s="69" t="s">
        <v>1</v>
      </c>
      <c r="D219" s="10" t="s">
        <v>128</v>
      </c>
      <c r="E219" s="10" t="s">
        <v>120</v>
      </c>
      <c r="F219" s="17" t="s">
        <v>2</v>
      </c>
    </row>
    <row r="220" spans="1:7" ht="14.45" customHeight="1" x14ac:dyDescent="0.25">
      <c r="B220" s="62">
        <v>13</v>
      </c>
      <c r="C220" s="3" t="s">
        <v>84</v>
      </c>
      <c r="D220" s="3" t="s">
        <v>6</v>
      </c>
      <c r="E220" s="76">
        <v>45989</v>
      </c>
      <c r="F220" s="3">
        <v>57</v>
      </c>
    </row>
    <row r="221" spans="1:7" ht="14.45" customHeight="1" x14ac:dyDescent="0.25">
      <c r="B221" s="62">
        <v>57</v>
      </c>
      <c r="C221" s="3" t="s">
        <v>112</v>
      </c>
      <c r="D221" s="3" t="s">
        <v>16</v>
      </c>
      <c r="E221" s="76">
        <v>45989</v>
      </c>
      <c r="F221" s="3">
        <v>53</v>
      </c>
    </row>
    <row r="222" spans="1:7" ht="14.45" customHeight="1" x14ac:dyDescent="0.25">
      <c r="B222" s="62">
        <v>11</v>
      </c>
      <c r="C222" s="3" t="s">
        <v>153</v>
      </c>
      <c r="D222" s="3" t="s">
        <v>12</v>
      </c>
      <c r="E222" s="76">
        <v>45989</v>
      </c>
      <c r="F222" s="3">
        <v>41</v>
      </c>
    </row>
    <row r="225" spans="2:7" ht="14.45" customHeight="1" x14ac:dyDescent="0.25">
      <c r="B225" s="157" t="s">
        <v>261</v>
      </c>
      <c r="C225" s="157"/>
      <c r="D225" s="157"/>
      <c r="E225" s="157"/>
      <c r="F225" s="157"/>
    </row>
    <row r="226" spans="2:7" ht="14.45" customHeight="1" x14ac:dyDescent="0.25">
      <c r="B226" s="10" t="s">
        <v>0</v>
      </c>
      <c r="C226" s="69" t="s">
        <v>1</v>
      </c>
      <c r="D226" s="10" t="s">
        <v>128</v>
      </c>
      <c r="E226" s="10" t="s">
        <v>120</v>
      </c>
      <c r="F226" s="17" t="s">
        <v>2</v>
      </c>
    </row>
    <row r="227" spans="2:7" ht="14.45" customHeight="1" x14ac:dyDescent="0.25">
      <c r="B227" s="9">
        <v>59</v>
      </c>
      <c r="C227" s="14" t="s">
        <v>183</v>
      </c>
      <c r="D227" s="3" t="s">
        <v>6</v>
      </c>
      <c r="E227" s="80">
        <v>45988</v>
      </c>
      <c r="F227" s="3">
        <v>60</v>
      </c>
    </row>
    <row r="228" spans="2:7" ht="14.45" customHeight="1" x14ac:dyDescent="0.25">
      <c r="B228" s="9">
        <v>60</v>
      </c>
      <c r="C228" s="3" t="s">
        <v>229</v>
      </c>
      <c r="D228" s="3" t="s">
        <v>6</v>
      </c>
      <c r="E228" s="80">
        <v>45985</v>
      </c>
      <c r="F228" s="3">
        <v>69</v>
      </c>
    </row>
    <row r="231" spans="2:7" ht="14.45" customHeight="1" x14ac:dyDescent="0.25">
      <c r="B231" s="157" t="s">
        <v>262</v>
      </c>
      <c r="C231" s="157"/>
      <c r="D231" s="157"/>
      <c r="E231" s="157"/>
      <c r="F231" s="157"/>
    </row>
    <row r="232" spans="2:7" ht="14.45" customHeight="1" x14ac:dyDescent="0.25">
      <c r="B232" s="10" t="s">
        <v>0</v>
      </c>
      <c r="C232" s="69" t="s">
        <v>1</v>
      </c>
      <c r="D232" s="10" t="s">
        <v>128</v>
      </c>
      <c r="E232" s="10" t="s">
        <v>120</v>
      </c>
      <c r="F232" s="17" t="s">
        <v>2</v>
      </c>
    </row>
    <row r="233" spans="2:7" ht="14.45" customHeight="1" x14ac:dyDescent="0.25">
      <c r="B233" s="9">
        <v>62</v>
      </c>
      <c r="C233" s="3" t="s">
        <v>149</v>
      </c>
      <c r="D233" s="3" t="s">
        <v>6</v>
      </c>
      <c r="E233" s="8">
        <v>45989</v>
      </c>
      <c r="F233" s="3">
        <v>65</v>
      </c>
      <c r="G233" t="s">
        <v>129</v>
      </c>
    </row>
    <row r="234" spans="2:7" ht="14.45" customHeight="1" x14ac:dyDescent="0.25">
      <c r="B234" s="9">
        <v>64</v>
      </c>
      <c r="C234" s="14" t="s">
        <v>181</v>
      </c>
      <c r="D234" s="3" t="s">
        <v>6</v>
      </c>
      <c r="E234" s="8">
        <v>45990</v>
      </c>
      <c r="F234" s="3">
        <v>67</v>
      </c>
      <c r="G234" t="s">
        <v>129</v>
      </c>
    </row>
    <row r="235" spans="2:7" ht="14.45" customHeight="1" x14ac:dyDescent="0.25">
      <c r="B235" s="9">
        <v>68</v>
      </c>
      <c r="C235" s="3" t="s">
        <v>115</v>
      </c>
      <c r="D235" s="3" t="s">
        <v>6</v>
      </c>
      <c r="E235" s="8">
        <v>45986</v>
      </c>
      <c r="F235" s="3">
        <v>65</v>
      </c>
      <c r="G235" t="s">
        <v>129</v>
      </c>
    </row>
    <row r="236" spans="2:7" ht="14.45" customHeight="1" x14ac:dyDescent="0.25">
      <c r="B236" s="9">
        <v>80</v>
      </c>
      <c r="C236" s="3" t="s">
        <v>146</v>
      </c>
      <c r="D236" s="3" t="s">
        <v>6</v>
      </c>
      <c r="E236" s="8">
        <v>45989</v>
      </c>
      <c r="F236" s="3">
        <v>65</v>
      </c>
      <c r="G236" t="s">
        <v>129</v>
      </c>
    </row>
    <row r="237" spans="2:7" ht="14.45" customHeight="1" x14ac:dyDescent="0.25">
      <c r="B237" s="9">
        <v>82</v>
      </c>
      <c r="C237" s="3" t="s">
        <v>147</v>
      </c>
      <c r="D237" s="3" t="s">
        <v>6</v>
      </c>
      <c r="E237" s="8">
        <v>45987</v>
      </c>
      <c r="F237" s="3">
        <v>65</v>
      </c>
      <c r="G237" t="s">
        <v>129</v>
      </c>
    </row>
    <row r="238" spans="2:7" ht="14.45" customHeight="1" x14ac:dyDescent="0.25">
      <c r="B238" s="9">
        <v>85</v>
      </c>
      <c r="C238" s="14" t="s">
        <v>179</v>
      </c>
      <c r="D238" s="3" t="s">
        <v>6</v>
      </c>
      <c r="E238" s="8">
        <v>45989</v>
      </c>
      <c r="F238" s="3">
        <v>65</v>
      </c>
      <c r="G238" t="s">
        <v>129</v>
      </c>
    </row>
    <row r="239" spans="2:7" ht="14.45" customHeight="1" x14ac:dyDescent="0.25">
      <c r="B239" s="9">
        <v>89</v>
      </c>
      <c r="C239" s="3" t="s">
        <v>154</v>
      </c>
      <c r="D239" s="3" t="s">
        <v>16</v>
      </c>
      <c r="E239" s="8">
        <v>45986</v>
      </c>
      <c r="F239" s="3">
        <v>67</v>
      </c>
      <c r="G239" t="s">
        <v>129</v>
      </c>
    </row>
    <row r="241" spans="1:7" ht="14.45" customHeight="1" x14ac:dyDescent="0.25">
      <c r="A241" s="78"/>
      <c r="B241" s="78"/>
      <c r="C241" s="78"/>
      <c r="D241" s="78"/>
      <c r="E241" s="78"/>
      <c r="F241" s="78"/>
      <c r="G241" s="78"/>
    </row>
    <row r="243" spans="1:7" ht="14.45" customHeight="1" x14ac:dyDescent="0.25">
      <c r="A243" s="156" t="s">
        <v>265</v>
      </c>
      <c r="B243" s="156"/>
      <c r="C243" s="156"/>
      <c r="D243" s="156"/>
      <c r="E243" s="156"/>
      <c r="F243" s="156"/>
      <c r="G243" s="156"/>
    </row>
    <row r="245" spans="1:7" ht="14.45" customHeight="1" x14ac:dyDescent="0.25">
      <c r="B245" s="157" t="s">
        <v>263</v>
      </c>
      <c r="C245" s="157"/>
      <c r="D245" s="157"/>
      <c r="E245" s="157"/>
      <c r="F245" s="157"/>
    </row>
    <row r="246" spans="1:7" ht="14.45" customHeight="1" x14ac:dyDescent="0.25">
      <c r="B246" s="10" t="s">
        <v>0</v>
      </c>
      <c r="C246" s="69" t="s">
        <v>1</v>
      </c>
      <c r="D246" s="10" t="s">
        <v>128</v>
      </c>
      <c r="E246" s="10" t="s">
        <v>120</v>
      </c>
      <c r="F246" s="17" t="s">
        <v>2</v>
      </c>
    </row>
    <row r="247" spans="1:7" ht="14.45" customHeight="1" x14ac:dyDescent="0.25">
      <c r="B247" s="9">
        <v>70</v>
      </c>
      <c r="C247" s="3" t="s">
        <v>109</v>
      </c>
      <c r="D247" s="3" t="s">
        <v>6</v>
      </c>
      <c r="E247" s="80">
        <v>45995</v>
      </c>
      <c r="F247" s="3">
        <v>45</v>
      </c>
    </row>
    <row r="248" spans="1:7" ht="14.45" customHeight="1" x14ac:dyDescent="0.25">
      <c r="B248" s="9">
        <v>71</v>
      </c>
      <c r="C248" s="3" t="s">
        <v>106</v>
      </c>
      <c r="D248" s="3" t="s">
        <v>6</v>
      </c>
      <c r="E248" s="80">
        <v>45996</v>
      </c>
      <c r="F248" s="3">
        <v>17</v>
      </c>
    </row>
    <row r="249" spans="1:7" ht="14.45" customHeight="1" x14ac:dyDescent="0.25">
      <c r="B249" s="9">
        <v>94</v>
      </c>
      <c r="C249" s="3" t="s">
        <v>58</v>
      </c>
      <c r="D249" s="3" t="s">
        <v>16</v>
      </c>
      <c r="E249" s="80">
        <v>45997</v>
      </c>
      <c r="F249" s="3">
        <v>60</v>
      </c>
    </row>
    <row r="252" spans="1:7" ht="14.45" customHeight="1" x14ac:dyDescent="0.25">
      <c r="B252" s="157" t="s">
        <v>266</v>
      </c>
      <c r="C252" s="157"/>
      <c r="D252" s="157"/>
      <c r="E252" s="157"/>
      <c r="F252" s="157"/>
    </row>
    <row r="253" spans="1:7" ht="14.45" customHeight="1" x14ac:dyDescent="0.25">
      <c r="B253" s="10" t="s">
        <v>0</v>
      </c>
      <c r="C253" s="69" t="s">
        <v>1</v>
      </c>
      <c r="D253" s="10" t="s">
        <v>128</v>
      </c>
      <c r="E253" s="10" t="s">
        <v>120</v>
      </c>
      <c r="F253" s="17" t="s">
        <v>2</v>
      </c>
    </row>
    <row r="254" spans="1:7" ht="14.45" customHeight="1" x14ac:dyDescent="0.25">
      <c r="B254" s="9">
        <v>81</v>
      </c>
      <c r="C254" s="3" t="s">
        <v>227</v>
      </c>
      <c r="D254" s="3" t="s">
        <v>6</v>
      </c>
      <c r="E254" s="8">
        <v>45996.117647058825</v>
      </c>
      <c r="F254" s="3">
        <v>65</v>
      </c>
    </row>
    <row r="255" spans="1:7" ht="14.45" customHeight="1" x14ac:dyDescent="0.25">
      <c r="B255" s="9">
        <v>97</v>
      </c>
      <c r="C255" s="3" t="s">
        <v>141</v>
      </c>
      <c r="D255" s="3" t="s">
        <v>16</v>
      </c>
      <c r="E255" s="8">
        <v>45996</v>
      </c>
      <c r="F255" s="3">
        <v>65</v>
      </c>
    </row>
    <row r="256" spans="1:7" ht="14.45" customHeight="1" x14ac:dyDescent="0.25">
      <c r="B256" s="9">
        <v>99</v>
      </c>
      <c r="C256" s="3" t="s">
        <v>192</v>
      </c>
      <c r="D256" s="3" t="s">
        <v>16</v>
      </c>
      <c r="E256" s="8">
        <v>45996</v>
      </c>
      <c r="F256" s="3">
        <v>67</v>
      </c>
    </row>
    <row r="257" spans="1:7" ht="14.45" customHeight="1" x14ac:dyDescent="0.25">
      <c r="B257" s="9">
        <v>106</v>
      </c>
      <c r="C257" s="3" t="s">
        <v>248</v>
      </c>
      <c r="D257" s="3" t="s">
        <v>12</v>
      </c>
      <c r="E257" s="8">
        <v>45997</v>
      </c>
      <c r="F257" s="3">
        <v>40</v>
      </c>
    </row>
    <row r="260" spans="1:7" ht="14.45" customHeight="1" x14ac:dyDescent="0.25">
      <c r="B260" s="157" t="s">
        <v>267</v>
      </c>
      <c r="C260" s="157"/>
      <c r="D260" s="157"/>
      <c r="E260" s="157"/>
      <c r="F260" s="157"/>
    </row>
    <row r="261" spans="1:7" ht="14.45" customHeight="1" x14ac:dyDescent="0.25">
      <c r="B261" s="10" t="s">
        <v>0</v>
      </c>
      <c r="C261" s="69" t="s">
        <v>1</v>
      </c>
      <c r="D261" s="10" t="s">
        <v>128</v>
      </c>
      <c r="E261" s="10" t="s">
        <v>120</v>
      </c>
      <c r="F261" s="17" t="s">
        <v>2</v>
      </c>
    </row>
    <row r="262" spans="1:7" ht="14.45" customHeight="1" x14ac:dyDescent="0.25">
      <c r="B262" s="9">
        <v>97</v>
      </c>
      <c r="C262" s="3" t="s">
        <v>141</v>
      </c>
      <c r="D262" s="3" t="s">
        <v>16</v>
      </c>
      <c r="E262" s="80">
        <v>45996</v>
      </c>
      <c r="F262" s="3">
        <v>65</v>
      </c>
      <c r="G262" t="s">
        <v>129</v>
      </c>
    </row>
    <row r="264" spans="1:7" ht="14.45" customHeight="1" x14ac:dyDescent="0.25">
      <c r="A264" s="78"/>
      <c r="B264" s="78"/>
      <c r="C264" s="78"/>
      <c r="D264" s="78"/>
      <c r="E264" s="78"/>
      <c r="F264" s="78"/>
      <c r="G264" s="78"/>
    </row>
    <row r="266" spans="1:7" ht="14.45" customHeight="1" x14ac:dyDescent="0.25">
      <c r="A266" s="156" t="s">
        <v>268</v>
      </c>
      <c r="B266" s="156"/>
      <c r="C266" s="156"/>
      <c r="D266" s="156"/>
      <c r="E266" s="156"/>
      <c r="F266" s="156"/>
      <c r="G266" s="156"/>
    </row>
    <row r="268" spans="1:7" ht="14.45" customHeight="1" x14ac:dyDescent="0.25">
      <c r="B268" s="157" t="s">
        <v>269</v>
      </c>
      <c r="C268" s="157"/>
      <c r="D268" s="157"/>
      <c r="E268" s="157"/>
      <c r="F268" s="157"/>
    </row>
    <row r="269" spans="1:7" ht="14.45" customHeight="1" x14ac:dyDescent="0.25">
      <c r="B269" s="10" t="s">
        <v>0</v>
      </c>
      <c r="C269" s="69" t="s">
        <v>1</v>
      </c>
      <c r="D269" s="10" t="s">
        <v>128</v>
      </c>
      <c r="E269" s="10" t="s">
        <v>120</v>
      </c>
      <c r="F269" s="17" t="s">
        <v>2</v>
      </c>
    </row>
    <row r="270" spans="1:7" ht="14.45" customHeight="1" x14ac:dyDescent="0.25">
      <c r="B270" s="9">
        <v>34</v>
      </c>
      <c r="C270" s="3" t="s">
        <v>78</v>
      </c>
      <c r="D270" s="3" t="s">
        <v>6</v>
      </c>
      <c r="E270" s="8">
        <v>46003</v>
      </c>
      <c r="F270" s="3">
        <v>20</v>
      </c>
    </row>
    <row r="271" spans="1:7" ht="14.45" customHeight="1" x14ac:dyDescent="0.25">
      <c r="B271" s="9">
        <v>92</v>
      </c>
      <c r="C271" s="3" t="s">
        <v>83</v>
      </c>
      <c r="D271" s="3" t="s">
        <v>16</v>
      </c>
      <c r="E271" s="8">
        <v>46001.333333333336</v>
      </c>
      <c r="F271" s="3">
        <v>19</v>
      </c>
    </row>
    <row r="272" spans="1:7" ht="14.45" customHeight="1" x14ac:dyDescent="0.25">
      <c r="B272" s="9">
        <v>107</v>
      </c>
      <c r="C272" s="3" t="s">
        <v>162</v>
      </c>
      <c r="D272" s="3" t="s">
        <v>12</v>
      </c>
      <c r="E272" s="8">
        <v>46002</v>
      </c>
      <c r="F272" s="3">
        <v>38</v>
      </c>
    </row>
    <row r="273" spans="1:7" ht="14.45" customHeight="1" x14ac:dyDescent="0.25">
      <c r="B273" s="9">
        <v>111</v>
      </c>
      <c r="C273" s="3" t="s">
        <v>205</v>
      </c>
      <c r="D273" s="3" t="s">
        <v>12</v>
      </c>
      <c r="E273" s="8">
        <v>46002</v>
      </c>
      <c r="F273" s="3">
        <v>43</v>
      </c>
    </row>
    <row r="276" spans="1:7" ht="14.45" customHeight="1" x14ac:dyDescent="0.25">
      <c r="B276" s="157" t="s">
        <v>270</v>
      </c>
      <c r="C276" s="157"/>
      <c r="D276" s="157"/>
      <c r="E276" s="157"/>
      <c r="F276" s="157"/>
    </row>
    <row r="277" spans="1:7" ht="14.45" customHeight="1" x14ac:dyDescent="0.25">
      <c r="B277" s="10" t="s">
        <v>0</v>
      </c>
      <c r="C277" s="69" t="s">
        <v>1</v>
      </c>
      <c r="D277" s="10" t="s">
        <v>128</v>
      </c>
      <c r="E277" s="10" t="s">
        <v>120</v>
      </c>
      <c r="F277" s="17" t="s">
        <v>2</v>
      </c>
    </row>
    <row r="278" spans="1:7" ht="14.45" customHeight="1" x14ac:dyDescent="0.25">
      <c r="B278" s="17" t="s">
        <v>223</v>
      </c>
      <c r="C278" s="11" t="s">
        <v>223</v>
      </c>
      <c r="D278" s="11" t="s">
        <v>223</v>
      </c>
      <c r="E278" s="8" t="s">
        <v>223</v>
      </c>
      <c r="F278" s="11" t="s">
        <v>223</v>
      </c>
    </row>
    <row r="280" spans="1:7" ht="14.45" customHeight="1" x14ac:dyDescent="0.25">
      <c r="A280" s="78"/>
      <c r="B280" s="78"/>
      <c r="C280" s="78"/>
      <c r="D280" s="78"/>
      <c r="E280" s="78"/>
      <c r="F280" s="78"/>
      <c r="G280" s="78"/>
    </row>
    <row r="282" spans="1:7" ht="14.45" customHeight="1" x14ac:dyDescent="0.25">
      <c r="A282" s="156" t="s">
        <v>278</v>
      </c>
      <c r="B282" s="156"/>
      <c r="C282" s="156"/>
      <c r="D282" s="156"/>
      <c r="E282" s="156"/>
      <c r="F282" s="156"/>
      <c r="G282" s="156"/>
    </row>
    <row r="284" spans="1:7" ht="14.45" customHeight="1" x14ac:dyDescent="0.25">
      <c r="B284" s="157" t="s">
        <v>279</v>
      </c>
      <c r="C284" s="157"/>
      <c r="D284" s="157"/>
      <c r="E284" s="157"/>
      <c r="F284" s="157"/>
    </row>
    <row r="285" spans="1:7" ht="14.45" customHeight="1" x14ac:dyDescent="0.25">
      <c r="B285" s="10" t="s">
        <v>0</v>
      </c>
      <c r="C285" s="69" t="s">
        <v>1</v>
      </c>
      <c r="D285" s="10" t="s">
        <v>128</v>
      </c>
      <c r="E285" s="10" t="s">
        <v>120</v>
      </c>
      <c r="F285" s="17" t="s">
        <v>2</v>
      </c>
    </row>
    <row r="286" spans="1:7" ht="14.45" customHeight="1" x14ac:dyDescent="0.25">
      <c r="B286" s="9">
        <v>62</v>
      </c>
      <c r="C286" s="3" t="s">
        <v>149</v>
      </c>
      <c r="D286" s="3" t="s">
        <v>6</v>
      </c>
      <c r="E286" s="76">
        <v>46008.444444444445</v>
      </c>
      <c r="F286" s="3">
        <v>65</v>
      </c>
    </row>
    <row r="287" spans="1:7" ht="14.45" customHeight="1" x14ac:dyDescent="0.25">
      <c r="B287" s="9">
        <v>78</v>
      </c>
      <c r="C287" s="3" t="s">
        <v>152</v>
      </c>
      <c r="D287" s="3" t="s">
        <v>6</v>
      </c>
      <c r="E287" s="76">
        <v>46009.888888888891</v>
      </c>
      <c r="F287" s="3">
        <v>65</v>
      </c>
    </row>
    <row r="288" spans="1:7" ht="14.45" customHeight="1" x14ac:dyDescent="0.25">
      <c r="B288" s="9">
        <v>84</v>
      </c>
      <c r="C288" s="3" t="s">
        <v>91</v>
      </c>
      <c r="D288" s="3" t="s">
        <v>6</v>
      </c>
      <c r="E288" s="76">
        <v>46008.419354838712</v>
      </c>
      <c r="F288" s="3">
        <v>72</v>
      </c>
    </row>
    <row r="291" spans="1:7" ht="14.45" customHeight="1" x14ac:dyDescent="0.25">
      <c r="B291" s="157" t="s">
        <v>280</v>
      </c>
      <c r="C291" s="157"/>
      <c r="D291" s="157"/>
      <c r="E291" s="157"/>
      <c r="F291" s="157"/>
    </row>
    <row r="292" spans="1:7" ht="14.45" customHeight="1" x14ac:dyDescent="0.25">
      <c r="B292" s="10" t="s">
        <v>0</v>
      </c>
      <c r="C292" s="69" t="s">
        <v>1</v>
      </c>
      <c r="D292" s="10" t="s">
        <v>128</v>
      </c>
      <c r="E292" s="10" t="s">
        <v>120</v>
      </c>
      <c r="F292" s="17" t="s">
        <v>2</v>
      </c>
    </row>
    <row r="293" spans="1:7" ht="14.45" customHeight="1" x14ac:dyDescent="0.25">
      <c r="B293" s="17" t="s">
        <v>223</v>
      </c>
      <c r="C293" s="11" t="s">
        <v>223</v>
      </c>
      <c r="D293" s="11" t="s">
        <v>223</v>
      </c>
      <c r="E293" s="8" t="s">
        <v>223</v>
      </c>
      <c r="F293" s="11" t="s">
        <v>223</v>
      </c>
    </row>
    <row r="296" spans="1:7" ht="14.45" customHeight="1" x14ac:dyDescent="0.25">
      <c r="B296" s="157" t="s">
        <v>281</v>
      </c>
      <c r="C296" s="157"/>
      <c r="D296" s="157"/>
      <c r="E296" s="157"/>
      <c r="F296" s="157"/>
    </row>
    <row r="297" spans="1:7" ht="14.45" customHeight="1" x14ac:dyDescent="0.25">
      <c r="B297" s="10" t="s">
        <v>0</v>
      </c>
      <c r="C297" s="69" t="s">
        <v>1</v>
      </c>
      <c r="D297" s="10" t="s">
        <v>128</v>
      </c>
      <c r="E297" s="10" t="s">
        <v>120</v>
      </c>
      <c r="F297" s="17" t="s">
        <v>2</v>
      </c>
    </row>
    <row r="298" spans="1:7" ht="14.45" customHeight="1" x14ac:dyDescent="0.25">
      <c r="B298" s="9">
        <v>78</v>
      </c>
      <c r="C298" s="3" t="s">
        <v>152</v>
      </c>
      <c r="D298" s="3" t="s">
        <v>6</v>
      </c>
      <c r="E298" s="80">
        <v>46006</v>
      </c>
      <c r="F298" s="3">
        <v>65</v>
      </c>
      <c r="G298" t="s">
        <v>129</v>
      </c>
    </row>
    <row r="301" spans="1:7" ht="14.45" customHeight="1" x14ac:dyDescent="0.25">
      <c r="A301" s="78"/>
      <c r="B301" s="78"/>
      <c r="C301" s="78"/>
      <c r="D301" s="78"/>
      <c r="E301" s="78"/>
      <c r="F301" s="78"/>
      <c r="G301" s="78"/>
    </row>
    <row r="303" spans="1:7" ht="14.45" customHeight="1" x14ac:dyDescent="0.25">
      <c r="A303" s="156" t="s">
        <v>282</v>
      </c>
      <c r="B303" s="156"/>
      <c r="C303" s="156"/>
      <c r="D303" s="156"/>
      <c r="E303" s="156"/>
      <c r="F303" s="156"/>
      <c r="G303" s="156"/>
    </row>
    <row r="305" spans="2:7" ht="14.45" customHeight="1" x14ac:dyDescent="0.25">
      <c r="B305" s="157" t="s">
        <v>283</v>
      </c>
      <c r="C305" s="157"/>
      <c r="D305" s="157"/>
      <c r="E305" s="157"/>
      <c r="F305" s="157"/>
    </row>
    <row r="306" spans="2:7" ht="14.45" customHeight="1" x14ac:dyDescent="0.25">
      <c r="B306" s="10" t="s">
        <v>0</v>
      </c>
      <c r="C306" s="69" t="s">
        <v>1</v>
      </c>
      <c r="D306" s="10" t="s">
        <v>128</v>
      </c>
      <c r="E306" s="10" t="s">
        <v>120</v>
      </c>
      <c r="F306" s="17" t="s">
        <v>2</v>
      </c>
    </row>
    <row r="307" spans="2:7" ht="14.45" customHeight="1" x14ac:dyDescent="0.25">
      <c r="B307" s="9">
        <v>68</v>
      </c>
      <c r="C307" s="3" t="s">
        <v>115</v>
      </c>
      <c r="D307" s="3" t="s">
        <v>6</v>
      </c>
      <c r="E307" s="76">
        <v>46017</v>
      </c>
      <c r="F307" s="3">
        <v>65</v>
      </c>
    </row>
    <row r="308" spans="2:7" ht="14.45" customHeight="1" x14ac:dyDescent="0.25">
      <c r="B308" s="9">
        <v>89</v>
      </c>
      <c r="C308" s="3" t="s">
        <v>154</v>
      </c>
      <c r="D308" s="3" t="s">
        <v>16</v>
      </c>
      <c r="E308" s="76">
        <v>46018</v>
      </c>
      <c r="F308" s="3">
        <v>67</v>
      </c>
    </row>
    <row r="309" spans="2:7" ht="14.45" customHeight="1" x14ac:dyDescent="0.25">
      <c r="B309" s="9">
        <v>104</v>
      </c>
      <c r="C309" s="3" t="s">
        <v>213</v>
      </c>
      <c r="D309" s="3" t="s">
        <v>12</v>
      </c>
      <c r="E309" s="76">
        <v>46015</v>
      </c>
      <c r="F309" s="3">
        <v>40</v>
      </c>
    </row>
    <row r="310" spans="2:7" ht="14.45" customHeight="1" x14ac:dyDescent="0.25">
      <c r="B310" s="9">
        <v>108</v>
      </c>
      <c r="C310" s="3" t="s">
        <v>214</v>
      </c>
      <c r="D310" s="3" t="s">
        <v>12</v>
      </c>
      <c r="E310" s="76">
        <v>46015</v>
      </c>
      <c r="F310" s="3">
        <v>40</v>
      </c>
    </row>
    <row r="313" spans="2:7" ht="14.45" customHeight="1" x14ac:dyDescent="0.25">
      <c r="B313" s="157" t="s">
        <v>284</v>
      </c>
      <c r="C313" s="157"/>
      <c r="D313" s="157"/>
      <c r="E313" s="157"/>
      <c r="F313" s="157"/>
    </row>
    <row r="314" spans="2:7" ht="14.45" customHeight="1" x14ac:dyDescent="0.25">
      <c r="B314" s="10" t="s">
        <v>0</v>
      </c>
      <c r="C314" s="69" t="s">
        <v>1</v>
      </c>
      <c r="D314" s="10" t="s">
        <v>128</v>
      </c>
      <c r="E314" s="10" t="s">
        <v>120</v>
      </c>
      <c r="F314" s="17" t="s">
        <v>2</v>
      </c>
    </row>
    <row r="315" spans="2:7" ht="14.45" customHeight="1" x14ac:dyDescent="0.25">
      <c r="B315" s="9">
        <v>87</v>
      </c>
      <c r="C315" s="3" t="s">
        <v>243</v>
      </c>
      <c r="D315" s="3" t="s">
        <v>6</v>
      </c>
      <c r="E315" s="8">
        <v>46013</v>
      </c>
      <c r="F315" s="3">
        <v>66</v>
      </c>
    </row>
    <row r="317" spans="2:7" ht="14.45" customHeight="1" x14ac:dyDescent="0.25">
      <c r="B317" s="157" t="s">
        <v>285</v>
      </c>
      <c r="C317" s="157"/>
      <c r="D317" s="157"/>
      <c r="E317" s="157"/>
      <c r="F317" s="157"/>
    </row>
    <row r="318" spans="2:7" ht="14.45" customHeight="1" x14ac:dyDescent="0.25">
      <c r="B318" s="10" t="s">
        <v>0</v>
      </c>
      <c r="C318" s="69" t="s">
        <v>1</v>
      </c>
      <c r="D318" s="10" t="s">
        <v>128</v>
      </c>
      <c r="E318" s="10" t="s">
        <v>120</v>
      </c>
      <c r="F318" s="17" t="s">
        <v>2</v>
      </c>
    </row>
    <row r="319" spans="2:7" ht="14.45" customHeight="1" x14ac:dyDescent="0.25">
      <c r="B319" s="9">
        <v>59</v>
      </c>
      <c r="C319" s="14" t="s">
        <v>183</v>
      </c>
      <c r="D319" s="3" t="s">
        <v>6</v>
      </c>
      <c r="E319" s="76">
        <v>46014</v>
      </c>
      <c r="F319" s="3">
        <v>60</v>
      </c>
      <c r="G319" t="s">
        <v>129</v>
      </c>
    </row>
    <row r="320" spans="2:7" ht="14.45" customHeight="1" x14ac:dyDescent="0.25">
      <c r="B320" s="9">
        <v>61</v>
      </c>
      <c r="C320" s="14" t="s">
        <v>182</v>
      </c>
      <c r="D320" s="3" t="s">
        <v>6</v>
      </c>
      <c r="E320" s="76">
        <v>46014</v>
      </c>
      <c r="F320" s="3">
        <v>60</v>
      </c>
      <c r="G320" t="s">
        <v>129</v>
      </c>
    </row>
    <row r="321" spans="1:7" ht="14.45" customHeight="1" x14ac:dyDescent="0.25">
      <c r="B321" s="9">
        <v>77</v>
      </c>
      <c r="C321" s="14" t="s">
        <v>180</v>
      </c>
      <c r="D321" s="3" t="s">
        <v>6</v>
      </c>
      <c r="E321" s="76">
        <v>46018</v>
      </c>
      <c r="F321" s="3">
        <v>60</v>
      </c>
      <c r="G321" t="s">
        <v>129</v>
      </c>
    </row>
    <row r="322" spans="1:7" ht="14.45" customHeight="1" x14ac:dyDescent="0.25">
      <c r="B322" s="9">
        <v>88</v>
      </c>
      <c r="C322" s="3" t="s">
        <v>189</v>
      </c>
      <c r="D322" s="3" t="s">
        <v>16</v>
      </c>
      <c r="E322" s="76">
        <v>46014</v>
      </c>
      <c r="F322" s="3">
        <v>65</v>
      </c>
      <c r="G322" t="s">
        <v>129</v>
      </c>
    </row>
    <row r="323" spans="1:7" ht="14.45" customHeight="1" x14ac:dyDescent="0.25">
      <c r="B323" s="9">
        <v>99</v>
      </c>
      <c r="C323" s="3" t="s">
        <v>192</v>
      </c>
      <c r="D323" s="3" t="s">
        <v>16</v>
      </c>
      <c r="E323" s="76">
        <v>46013</v>
      </c>
      <c r="F323" s="3">
        <v>67</v>
      </c>
      <c r="G323" t="s">
        <v>129</v>
      </c>
    </row>
    <row r="326" spans="1:7" ht="14.45" customHeight="1" x14ac:dyDescent="0.25">
      <c r="A326" s="78"/>
      <c r="B326" s="78"/>
      <c r="C326" s="78"/>
      <c r="D326" s="78"/>
      <c r="E326" s="78"/>
      <c r="F326" s="78"/>
      <c r="G326" s="78"/>
    </row>
    <row r="328" spans="1:7" ht="14.45" customHeight="1" x14ac:dyDescent="0.25">
      <c r="A328" s="156" t="s">
        <v>294</v>
      </c>
      <c r="B328" s="156"/>
      <c r="C328" s="156"/>
      <c r="D328" s="156"/>
      <c r="E328" s="156"/>
      <c r="F328" s="156"/>
      <c r="G328" s="156"/>
    </row>
    <row r="330" spans="1:7" ht="14.45" customHeight="1" x14ac:dyDescent="0.25">
      <c r="B330" s="157" t="s">
        <v>295</v>
      </c>
      <c r="C330" s="157"/>
      <c r="D330" s="157"/>
      <c r="E330" s="157"/>
      <c r="F330" s="157"/>
    </row>
    <row r="331" spans="1:7" ht="14.45" customHeight="1" x14ac:dyDescent="0.25">
      <c r="B331" s="10" t="s">
        <v>0</v>
      </c>
      <c r="C331" s="69" t="s">
        <v>1</v>
      </c>
      <c r="D331" s="10" t="s">
        <v>128</v>
      </c>
      <c r="E331" s="10" t="s">
        <v>120</v>
      </c>
      <c r="F331" s="17" t="s">
        <v>2</v>
      </c>
    </row>
    <row r="332" spans="1:7" ht="14.45" customHeight="1" x14ac:dyDescent="0.25">
      <c r="B332" s="9">
        <v>86</v>
      </c>
      <c r="C332" s="3" t="s">
        <v>100</v>
      </c>
      <c r="D332" s="3" t="s">
        <v>6</v>
      </c>
      <c r="E332" s="8">
        <v>46020.612903225803</v>
      </c>
      <c r="F332" s="3">
        <v>49</v>
      </c>
    </row>
    <row r="333" spans="1:7" ht="14.45" customHeight="1" x14ac:dyDescent="0.25">
      <c r="B333" s="9">
        <v>101</v>
      </c>
      <c r="C333" s="3" t="s">
        <v>220</v>
      </c>
      <c r="D333" s="3" t="s">
        <v>12</v>
      </c>
      <c r="E333" s="8">
        <v>46021</v>
      </c>
      <c r="F333" s="3">
        <v>39</v>
      </c>
    </row>
    <row r="336" spans="1:7" ht="14.45" customHeight="1" x14ac:dyDescent="0.25">
      <c r="B336" s="157" t="s">
        <v>296</v>
      </c>
      <c r="C336" s="157"/>
      <c r="D336" s="157"/>
      <c r="E336" s="157"/>
      <c r="F336" s="157"/>
    </row>
    <row r="337" spans="1:7" ht="14.45" customHeight="1" x14ac:dyDescent="0.25">
      <c r="B337" s="10" t="s">
        <v>0</v>
      </c>
      <c r="C337" s="69" t="s">
        <v>1</v>
      </c>
      <c r="D337" s="10" t="s">
        <v>128</v>
      </c>
      <c r="E337" s="10" t="s">
        <v>120</v>
      </c>
      <c r="F337" s="17" t="s">
        <v>2</v>
      </c>
    </row>
    <row r="338" spans="1:7" ht="14.45" customHeight="1" x14ac:dyDescent="0.25">
      <c r="B338" s="17" t="s">
        <v>223</v>
      </c>
      <c r="C338" s="11" t="s">
        <v>223</v>
      </c>
      <c r="D338" s="11" t="s">
        <v>223</v>
      </c>
      <c r="E338" s="8" t="s">
        <v>223</v>
      </c>
      <c r="F338" s="11" t="s">
        <v>223</v>
      </c>
    </row>
    <row r="341" spans="1:7" ht="14.45" customHeight="1" x14ac:dyDescent="0.25">
      <c r="B341" s="157" t="s">
        <v>297</v>
      </c>
      <c r="C341" s="157"/>
      <c r="D341" s="157"/>
      <c r="E341" s="157"/>
      <c r="F341" s="157"/>
    </row>
    <row r="342" spans="1:7" ht="14.45" customHeight="1" x14ac:dyDescent="0.25">
      <c r="B342" s="10" t="s">
        <v>0</v>
      </c>
      <c r="C342" s="69" t="s">
        <v>1</v>
      </c>
      <c r="D342" s="10" t="s">
        <v>128</v>
      </c>
      <c r="E342" s="10" t="s">
        <v>120</v>
      </c>
      <c r="F342" s="17" t="s">
        <v>2</v>
      </c>
    </row>
    <row r="343" spans="1:7" ht="14.45" customHeight="1" x14ac:dyDescent="0.25">
      <c r="B343" s="9">
        <v>93</v>
      </c>
      <c r="C343" s="3" t="s">
        <v>191</v>
      </c>
      <c r="D343" s="3" t="s">
        <v>16</v>
      </c>
      <c r="E343" s="8">
        <v>46025</v>
      </c>
      <c r="F343" s="3">
        <v>65</v>
      </c>
      <c r="G343" t="s">
        <v>129</v>
      </c>
    </row>
    <row r="346" spans="1:7" ht="14.45" customHeight="1" x14ac:dyDescent="0.25">
      <c r="A346" s="78"/>
      <c r="B346" s="78"/>
      <c r="C346" s="78"/>
      <c r="D346" s="78"/>
      <c r="E346" s="78"/>
      <c r="F346" s="78"/>
      <c r="G346" s="78"/>
    </row>
    <row r="348" spans="1:7" ht="14.45" customHeight="1" x14ac:dyDescent="0.25">
      <c r="A348" s="156" t="s">
        <v>299</v>
      </c>
      <c r="B348" s="156"/>
      <c r="C348" s="156"/>
      <c r="D348" s="156"/>
      <c r="E348" s="156"/>
      <c r="F348" s="156"/>
      <c r="G348" s="156"/>
    </row>
    <row r="350" spans="1:7" ht="14.45" customHeight="1" x14ac:dyDescent="0.25">
      <c r="B350" s="157" t="s">
        <v>298</v>
      </c>
      <c r="C350" s="157"/>
      <c r="D350" s="157"/>
      <c r="E350" s="157"/>
      <c r="F350" s="157"/>
    </row>
    <row r="351" spans="1:7" ht="14.45" customHeight="1" x14ac:dyDescent="0.25">
      <c r="B351" s="10" t="s">
        <v>0</v>
      </c>
      <c r="C351" s="69" t="s">
        <v>1</v>
      </c>
      <c r="D351" s="10" t="s">
        <v>128</v>
      </c>
      <c r="E351" s="10" t="s">
        <v>120</v>
      </c>
      <c r="F351" s="17" t="s">
        <v>2</v>
      </c>
    </row>
    <row r="352" spans="1:7" ht="14.45" customHeight="1" x14ac:dyDescent="0.25">
      <c r="B352" s="9">
        <v>75</v>
      </c>
      <c r="C352" s="3" t="s">
        <v>148</v>
      </c>
      <c r="D352" s="3" t="s">
        <v>6</v>
      </c>
      <c r="E352" s="8">
        <v>46027</v>
      </c>
      <c r="F352" s="3">
        <v>61</v>
      </c>
    </row>
    <row r="353" spans="2:6" ht="14.45" customHeight="1" x14ac:dyDescent="0.25">
      <c r="B353" s="9">
        <v>85</v>
      </c>
      <c r="C353" s="3" t="s">
        <v>179</v>
      </c>
      <c r="D353" s="3" t="s">
        <v>6</v>
      </c>
      <c r="E353" s="8">
        <v>46032</v>
      </c>
      <c r="F353" s="3">
        <v>64</v>
      </c>
    </row>
    <row r="356" spans="2:6" ht="14.45" customHeight="1" x14ac:dyDescent="0.25">
      <c r="B356" s="157" t="s">
        <v>300</v>
      </c>
      <c r="C356" s="157"/>
      <c r="D356" s="157"/>
      <c r="E356" s="157"/>
      <c r="F356" s="157"/>
    </row>
    <row r="357" spans="2:6" ht="14.45" customHeight="1" x14ac:dyDescent="0.25">
      <c r="B357" s="10" t="s">
        <v>0</v>
      </c>
      <c r="C357" s="69" t="s">
        <v>1</v>
      </c>
      <c r="D357" s="10" t="s">
        <v>128</v>
      </c>
      <c r="E357" s="10" t="s">
        <v>120</v>
      </c>
      <c r="F357" s="17" t="s">
        <v>2</v>
      </c>
    </row>
    <row r="358" spans="2:6" ht="14.45" customHeight="1" x14ac:dyDescent="0.25">
      <c r="B358" s="17">
        <v>58</v>
      </c>
      <c r="C358" s="11" t="s">
        <v>241</v>
      </c>
      <c r="D358" s="11" t="s">
        <v>6</v>
      </c>
      <c r="E358" s="8">
        <v>46027.222222222219</v>
      </c>
      <c r="F358" s="11">
        <v>65</v>
      </c>
    </row>
    <row r="359" spans="2:6" ht="14.45" customHeight="1" x14ac:dyDescent="0.25">
      <c r="B359" s="17">
        <v>67</v>
      </c>
      <c r="C359" s="11" t="s">
        <v>240</v>
      </c>
      <c r="D359" s="11" t="s">
        <v>6</v>
      </c>
      <c r="E359" s="76">
        <v>46027</v>
      </c>
      <c r="F359" s="11">
        <v>65</v>
      </c>
    </row>
    <row r="360" spans="2:6" ht="14.45" customHeight="1" x14ac:dyDescent="0.25">
      <c r="B360" s="17">
        <v>74</v>
      </c>
      <c r="C360" s="11" t="s">
        <v>246</v>
      </c>
      <c r="D360" s="11" t="s">
        <v>6</v>
      </c>
      <c r="E360" s="76">
        <v>46030.777777777781</v>
      </c>
      <c r="F360" s="11">
        <v>65</v>
      </c>
    </row>
    <row r="361" spans="2:6" ht="14.45" customHeight="1" x14ac:dyDescent="0.25">
      <c r="B361" s="17">
        <v>83</v>
      </c>
      <c r="C361" s="11" t="s">
        <v>293</v>
      </c>
      <c r="D361" s="11" t="s">
        <v>6</v>
      </c>
      <c r="E361" s="76">
        <v>46027.515151515152</v>
      </c>
      <c r="F361" s="11">
        <v>15</v>
      </c>
    </row>
    <row r="362" spans="2:6" ht="14.45" customHeight="1" x14ac:dyDescent="0.25">
      <c r="B362" s="17">
        <v>96</v>
      </c>
      <c r="C362" s="11" t="s">
        <v>239</v>
      </c>
      <c r="D362" s="11" t="s">
        <v>16</v>
      </c>
      <c r="E362" s="76">
        <v>46033.5</v>
      </c>
      <c r="F362" s="11">
        <v>65</v>
      </c>
    </row>
    <row r="365" spans="2:6" ht="14.45" customHeight="1" x14ac:dyDescent="0.25">
      <c r="B365" s="157" t="s">
        <v>301</v>
      </c>
      <c r="C365" s="157"/>
      <c r="D365" s="157"/>
      <c r="E365" s="157"/>
      <c r="F365" s="157"/>
    </row>
    <row r="366" spans="2:6" ht="14.45" customHeight="1" x14ac:dyDescent="0.25">
      <c r="B366" s="10" t="s">
        <v>0</v>
      </c>
      <c r="C366" s="69" t="s">
        <v>1</v>
      </c>
      <c r="D366" s="10" t="s">
        <v>128</v>
      </c>
      <c r="E366" s="10" t="s">
        <v>120</v>
      </c>
      <c r="F366" s="17" t="s">
        <v>2</v>
      </c>
    </row>
    <row r="367" spans="2:6" ht="14.45" customHeight="1" x14ac:dyDescent="0.25">
      <c r="B367" s="17" t="s">
        <v>223</v>
      </c>
      <c r="C367" s="11" t="s">
        <v>223</v>
      </c>
      <c r="D367" s="11" t="s">
        <v>223</v>
      </c>
      <c r="E367" s="8" t="s">
        <v>223</v>
      </c>
      <c r="F367" s="11" t="s">
        <v>223</v>
      </c>
    </row>
    <row r="370" spans="1:7" ht="14.45" customHeight="1" x14ac:dyDescent="0.25">
      <c r="A370" s="78"/>
      <c r="B370" s="78"/>
      <c r="C370" s="78"/>
      <c r="D370" s="78"/>
      <c r="E370" s="78"/>
      <c r="F370" s="78"/>
      <c r="G370" s="78"/>
    </row>
    <row r="372" spans="1:7" ht="14.45" customHeight="1" x14ac:dyDescent="0.25">
      <c r="A372" s="156" t="s">
        <v>305</v>
      </c>
      <c r="B372" s="156"/>
      <c r="C372" s="156"/>
      <c r="D372" s="156"/>
      <c r="E372" s="156"/>
      <c r="F372" s="156"/>
      <c r="G372" s="156"/>
    </row>
    <row r="374" spans="1:7" ht="14.45" customHeight="1" x14ac:dyDescent="0.25">
      <c r="B374" s="157" t="s">
        <v>306</v>
      </c>
      <c r="C374" s="157"/>
      <c r="D374" s="157"/>
      <c r="E374" s="157"/>
      <c r="F374" s="157"/>
    </row>
    <row r="375" spans="1:7" ht="14.45" customHeight="1" x14ac:dyDescent="0.25">
      <c r="B375" s="10" t="s">
        <v>0</v>
      </c>
      <c r="C375" s="69" t="s">
        <v>1</v>
      </c>
      <c r="D375" s="10" t="s">
        <v>128</v>
      </c>
      <c r="E375" s="10" t="s">
        <v>120</v>
      </c>
      <c r="F375" s="17" t="s">
        <v>2</v>
      </c>
    </row>
    <row r="376" spans="1:7" ht="14.45" customHeight="1" x14ac:dyDescent="0.25">
      <c r="B376" s="9">
        <v>102</v>
      </c>
      <c r="C376" s="3" t="s">
        <v>226</v>
      </c>
      <c r="D376" s="3" t="s">
        <v>12</v>
      </c>
      <c r="E376" s="76">
        <v>46034</v>
      </c>
      <c r="F376" s="3">
        <v>14</v>
      </c>
    </row>
    <row r="379" spans="1:7" ht="14.45" customHeight="1" x14ac:dyDescent="0.25">
      <c r="B379" s="157" t="s">
        <v>307</v>
      </c>
      <c r="C379" s="157"/>
      <c r="D379" s="157"/>
      <c r="E379" s="157"/>
      <c r="F379" s="157"/>
    </row>
    <row r="380" spans="1:7" ht="14.45" customHeight="1" x14ac:dyDescent="0.25">
      <c r="B380" s="10" t="s">
        <v>0</v>
      </c>
      <c r="C380" s="69" t="s">
        <v>1</v>
      </c>
      <c r="D380" s="10" t="s">
        <v>128</v>
      </c>
      <c r="E380" s="10" t="s">
        <v>120</v>
      </c>
      <c r="F380" s="17" t="s">
        <v>2</v>
      </c>
    </row>
    <row r="381" spans="1:7" ht="14.45" customHeight="1" x14ac:dyDescent="0.25">
      <c r="B381" s="9">
        <v>69</v>
      </c>
      <c r="C381" s="3" t="s">
        <v>234</v>
      </c>
      <c r="D381" s="3" t="s">
        <v>6</v>
      </c>
      <c r="E381" s="76">
        <v>46034</v>
      </c>
      <c r="F381" s="11">
        <v>65</v>
      </c>
    </row>
    <row r="382" spans="1:7" ht="14.45" customHeight="1" x14ac:dyDescent="0.25">
      <c r="B382" s="9">
        <v>93</v>
      </c>
      <c r="C382" s="3" t="s">
        <v>191</v>
      </c>
      <c r="D382" s="3" t="s">
        <v>16</v>
      </c>
      <c r="E382" s="76">
        <v>46040</v>
      </c>
      <c r="F382" s="11">
        <v>65</v>
      </c>
    </row>
    <row r="385" spans="1:7" ht="14.45" customHeight="1" x14ac:dyDescent="0.25">
      <c r="B385" s="157" t="s">
        <v>308</v>
      </c>
      <c r="C385" s="157"/>
      <c r="D385" s="157"/>
      <c r="E385" s="157"/>
      <c r="F385" s="157"/>
    </row>
    <row r="386" spans="1:7" ht="14.45" customHeight="1" x14ac:dyDescent="0.25">
      <c r="B386" s="10" t="s">
        <v>0</v>
      </c>
      <c r="C386" s="69" t="s">
        <v>1</v>
      </c>
      <c r="D386" s="10" t="s">
        <v>128</v>
      </c>
      <c r="E386" s="10" t="s">
        <v>120</v>
      </c>
      <c r="F386" s="17" t="s">
        <v>2</v>
      </c>
    </row>
    <row r="387" spans="1:7" ht="14.45" customHeight="1" x14ac:dyDescent="0.25">
      <c r="B387" s="9">
        <v>95</v>
      </c>
      <c r="C387" s="3" t="s">
        <v>215</v>
      </c>
      <c r="D387" s="3" t="s">
        <v>16</v>
      </c>
      <c r="E387" s="80">
        <v>46039</v>
      </c>
      <c r="F387" s="3">
        <v>67</v>
      </c>
      <c r="G387" t="s">
        <v>129</v>
      </c>
    </row>
    <row r="390" spans="1:7" ht="14.45" customHeight="1" x14ac:dyDescent="0.25">
      <c r="A390" s="78"/>
      <c r="B390" s="78"/>
      <c r="C390" s="78"/>
      <c r="D390" s="78"/>
      <c r="E390" s="78"/>
      <c r="F390" s="78"/>
      <c r="G390" s="78"/>
    </row>
    <row r="392" spans="1:7" ht="14.45" customHeight="1" x14ac:dyDescent="0.25">
      <c r="A392" s="156" t="s">
        <v>318</v>
      </c>
      <c r="B392" s="156"/>
      <c r="C392" s="156"/>
      <c r="D392" s="156"/>
      <c r="E392" s="156"/>
      <c r="F392" s="156"/>
      <c r="G392" s="156"/>
    </row>
    <row r="394" spans="1:7" ht="14.45" customHeight="1" x14ac:dyDescent="0.25">
      <c r="B394" s="157" t="s">
        <v>319</v>
      </c>
      <c r="C394" s="157"/>
      <c r="D394" s="157"/>
      <c r="E394" s="157"/>
      <c r="F394" s="157"/>
    </row>
    <row r="395" spans="1:7" ht="14.45" customHeight="1" x14ac:dyDescent="0.25">
      <c r="B395" s="10" t="s">
        <v>0</v>
      </c>
      <c r="C395" s="69" t="s">
        <v>1</v>
      </c>
      <c r="D395" s="10" t="s">
        <v>128</v>
      </c>
      <c r="E395" s="10" t="s">
        <v>120</v>
      </c>
      <c r="F395" s="17" t="s">
        <v>2</v>
      </c>
    </row>
    <row r="396" spans="1:7" ht="14.45" customHeight="1" x14ac:dyDescent="0.25">
      <c r="B396" s="9">
        <v>102</v>
      </c>
      <c r="C396" s="3" t="s">
        <v>226</v>
      </c>
      <c r="D396" s="3" t="s">
        <v>12</v>
      </c>
      <c r="E396" s="76">
        <v>46034</v>
      </c>
      <c r="F396" s="3">
        <v>14</v>
      </c>
    </row>
    <row r="397" spans="1:7" ht="14.45" customHeight="1" x14ac:dyDescent="0.25">
      <c r="B397" s="9">
        <v>82</v>
      </c>
      <c r="C397" s="3" t="s">
        <v>147</v>
      </c>
      <c r="D397" s="3" t="s">
        <v>6</v>
      </c>
      <c r="E397" s="76">
        <v>46047</v>
      </c>
      <c r="F397" s="3">
        <v>65</v>
      </c>
    </row>
    <row r="400" spans="1:7" ht="14.45" customHeight="1" x14ac:dyDescent="0.25">
      <c r="B400" s="157" t="s">
        <v>320</v>
      </c>
      <c r="C400" s="157"/>
      <c r="D400" s="157"/>
      <c r="E400" s="157"/>
      <c r="F400" s="157"/>
    </row>
    <row r="401" spans="1:8" ht="14.45" customHeight="1" x14ac:dyDescent="0.25">
      <c r="B401" s="10" t="s">
        <v>0</v>
      </c>
      <c r="C401" s="69" t="s">
        <v>1</v>
      </c>
      <c r="D401" s="10" t="s">
        <v>128</v>
      </c>
      <c r="E401" s="10" t="s">
        <v>120</v>
      </c>
      <c r="F401" s="17" t="s">
        <v>2</v>
      </c>
    </row>
    <row r="402" spans="1:8" ht="14.45" customHeight="1" x14ac:dyDescent="0.25">
      <c r="B402" s="9">
        <v>93</v>
      </c>
      <c r="C402" s="3" t="s">
        <v>191</v>
      </c>
      <c r="D402" s="3" t="s">
        <v>16</v>
      </c>
      <c r="E402" s="8">
        <v>46040.333333333336</v>
      </c>
      <c r="F402" s="3">
        <v>65</v>
      </c>
    </row>
    <row r="403" spans="1:8" ht="14.45" customHeight="1" x14ac:dyDescent="0.25">
      <c r="B403" s="9">
        <v>100</v>
      </c>
      <c r="C403" s="3" t="s">
        <v>303</v>
      </c>
      <c r="D403" s="3" t="s">
        <v>12</v>
      </c>
      <c r="E403" s="8">
        <v>46045</v>
      </c>
      <c r="F403" s="3">
        <v>24</v>
      </c>
      <c r="G403" t="s">
        <v>321</v>
      </c>
    </row>
    <row r="404" spans="1:8" ht="14.45" customHeight="1" x14ac:dyDescent="0.25">
      <c r="B404" s="9">
        <v>101</v>
      </c>
      <c r="C404" s="3" t="s">
        <v>311</v>
      </c>
      <c r="D404" s="3" t="s">
        <v>12</v>
      </c>
      <c r="E404" s="8">
        <v>46045</v>
      </c>
      <c r="F404" s="3">
        <v>30</v>
      </c>
      <c r="G404" t="s">
        <v>321</v>
      </c>
    </row>
    <row r="407" spans="1:8" ht="14.45" customHeight="1" x14ac:dyDescent="0.25">
      <c r="B407" s="157" t="s">
        <v>322</v>
      </c>
      <c r="C407" s="157"/>
      <c r="D407" s="157"/>
      <c r="E407" s="157"/>
      <c r="F407" s="157"/>
    </row>
    <row r="408" spans="1:8" ht="14.45" customHeight="1" x14ac:dyDescent="0.25">
      <c r="B408" s="9">
        <v>58</v>
      </c>
      <c r="C408" s="3" t="s">
        <v>241</v>
      </c>
      <c r="D408" s="3" t="s">
        <v>6</v>
      </c>
      <c r="E408" s="8">
        <v>46045</v>
      </c>
      <c r="F408" s="3">
        <v>65</v>
      </c>
      <c r="G408" t="s">
        <v>337</v>
      </c>
      <c r="H408" s="77"/>
    </row>
    <row r="409" spans="1:8" ht="14.45" customHeight="1" x14ac:dyDescent="0.25">
      <c r="B409" s="9">
        <v>67</v>
      </c>
      <c r="C409" s="3" t="s">
        <v>240</v>
      </c>
      <c r="D409" s="3" t="s">
        <v>6</v>
      </c>
      <c r="E409" s="8">
        <v>46042</v>
      </c>
      <c r="F409" s="3">
        <v>65</v>
      </c>
      <c r="G409" t="s">
        <v>347</v>
      </c>
      <c r="H409" s="5"/>
    </row>
    <row r="410" spans="1:8" ht="14.45" customHeight="1" x14ac:dyDescent="0.25">
      <c r="B410" s="9">
        <v>69</v>
      </c>
      <c r="C410" s="3" t="s">
        <v>234</v>
      </c>
      <c r="D410" s="3" t="s">
        <v>6</v>
      </c>
      <c r="E410" s="8">
        <v>46046</v>
      </c>
      <c r="F410" s="3">
        <v>65</v>
      </c>
      <c r="G410" t="s">
        <v>337</v>
      </c>
      <c r="H410" s="77"/>
    </row>
    <row r="411" spans="1:8" ht="14.45" customHeight="1" x14ac:dyDescent="0.25">
      <c r="B411" s="9">
        <v>70</v>
      </c>
      <c r="C411" s="3" t="s">
        <v>227</v>
      </c>
      <c r="D411" s="3" t="s">
        <v>6</v>
      </c>
      <c r="E411" s="8">
        <v>46042</v>
      </c>
      <c r="F411" s="3">
        <v>60</v>
      </c>
      <c r="G411" t="s">
        <v>347</v>
      </c>
    </row>
    <row r="412" spans="1:8" ht="14.45" customHeight="1" x14ac:dyDescent="0.25">
      <c r="B412" s="9">
        <v>72</v>
      </c>
      <c r="C412" s="3" t="s">
        <v>212</v>
      </c>
      <c r="D412" s="3" t="s">
        <v>6</v>
      </c>
      <c r="E412" s="8">
        <v>46045</v>
      </c>
      <c r="F412" s="3">
        <v>64</v>
      </c>
      <c r="G412" t="s">
        <v>129</v>
      </c>
    </row>
    <row r="415" spans="1:8" ht="14.45" customHeight="1" x14ac:dyDescent="0.25">
      <c r="A415" s="78"/>
      <c r="B415" s="78"/>
      <c r="C415" s="78"/>
      <c r="D415" s="78"/>
      <c r="E415" s="78"/>
      <c r="F415" s="78"/>
      <c r="G415" s="78"/>
    </row>
    <row r="417" spans="1:7" ht="14.45" customHeight="1" x14ac:dyDescent="0.25">
      <c r="A417" s="156" t="s">
        <v>338</v>
      </c>
      <c r="B417" s="156"/>
      <c r="C417" s="156"/>
      <c r="D417" s="156"/>
      <c r="E417" s="156"/>
      <c r="F417" s="156"/>
      <c r="G417" s="156"/>
    </row>
    <row r="419" spans="1:7" ht="14.45" customHeight="1" x14ac:dyDescent="0.25">
      <c r="B419" s="157" t="s">
        <v>339</v>
      </c>
      <c r="C419" s="157"/>
      <c r="D419" s="157"/>
      <c r="E419" s="157"/>
      <c r="F419" s="157"/>
    </row>
    <row r="420" spans="1:7" ht="14.45" customHeight="1" x14ac:dyDescent="0.25">
      <c r="B420" s="10" t="s">
        <v>0</v>
      </c>
      <c r="C420" s="69" t="s">
        <v>1</v>
      </c>
      <c r="D420" s="10" t="s">
        <v>128</v>
      </c>
      <c r="E420" s="10" t="s">
        <v>120</v>
      </c>
      <c r="F420" s="17" t="s">
        <v>2</v>
      </c>
    </row>
    <row r="421" spans="1:7" ht="14.45" customHeight="1" x14ac:dyDescent="0.25">
      <c r="B421" s="9">
        <v>72</v>
      </c>
      <c r="C421" s="3" t="s">
        <v>212</v>
      </c>
      <c r="D421" s="3" t="s">
        <v>6</v>
      </c>
      <c r="E421" s="76">
        <v>46052.285714285717</v>
      </c>
      <c r="F421" s="3">
        <v>64</v>
      </c>
    </row>
    <row r="422" spans="1:7" ht="14.45" customHeight="1" x14ac:dyDescent="0.25">
      <c r="B422" s="9">
        <v>107</v>
      </c>
      <c r="C422" s="3" t="s">
        <v>248</v>
      </c>
      <c r="D422" s="3" t="s">
        <v>12</v>
      </c>
      <c r="E422" s="76">
        <v>46051</v>
      </c>
      <c r="F422" s="3">
        <v>40</v>
      </c>
    </row>
    <row r="425" spans="1:7" ht="14.45" customHeight="1" x14ac:dyDescent="0.25">
      <c r="B425" s="157" t="s">
        <v>340</v>
      </c>
      <c r="C425" s="157"/>
      <c r="D425" s="157"/>
      <c r="E425" s="157"/>
      <c r="F425" s="157"/>
    </row>
    <row r="426" spans="1:7" ht="14.45" customHeight="1" x14ac:dyDescent="0.25">
      <c r="B426" s="10" t="s">
        <v>0</v>
      </c>
      <c r="C426" s="69" t="s">
        <v>1</v>
      </c>
      <c r="D426" s="10" t="s">
        <v>128</v>
      </c>
      <c r="E426" s="10" t="s">
        <v>120</v>
      </c>
      <c r="F426" s="17" t="s">
        <v>2</v>
      </c>
    </row>
    <row r="427" spans="1:7" ht="14.45" customHeight="1" x14ac:dyDescent="0.25">
      <c r="B427" s="9">
        <v>89</v>
      </c>
      <c r="C427" s="3" t="s">
        <v>272</v>
      </c>
      <c r="D427" s="3" t="s">
        <v>16</v>
      </c>
      <c r="E427" s="76">
        <v>46054</v>
      </c>
      <c r="F427" s="3">
        <v>65</v>
      </c>
    </row>
    <row r="430" spans="1:7" ht="14.45" customHeight="1" x14ac:dyDescent="0.25">
      <c r="B430" s="157" t="s">
        <v>341</v>
      </c>
      <c r="C430" s="157"/>
      <c r="D430" s="157"/>
      <c r="E430" s="157"/>
      <c r="F430" s="157"/>
    </row>
    <row r="431" spans="1:7" ht="14.45" customHeight="1" x14ac:dyDescent="0.25">
      <c r="B431" s="10" t="s">
        <v>0</v>
      </c>
      <c r="C431" s="69" t="s">
        <v>1</v>
      </c>
      <c r="D431" s="10" t="s">
        <v>128</v>
      </c>
      <c r="E431" s="10" t="s">
        <v>120</v>
      </c>
      <c r="F431" s="17" t="s">
        <v>2</v>
      </c>
    </row>
    <row r="432" spans="1:7" ht="14.45" customHeight="1" x14ac:dyDescent="0.25">
      <c r="B432" s="9">
        <v>60</v>
      </c>
      <c r="C432" s="3" t="s">
        <v>229</v>
      </c>
      <c r="D432" s="3" t="s">
        <v>6</v>
      </c>
      <c r="E432" s="8">
        <v>46048</v>
      </c>
      <c r="F432" s="3">
        <v>69</v>
      </c>
      <c r="G432" t="s">
        <v>129</v>
      </c>
    </row>
    <row r="433" spans="1:7" ht="14.45" customHeight="1" x14ac:dyDescent="0.25">
      <c r="B433" s="9">
        <v>74</v>
      </c>
      <c r="C433" s="3" t="s">
        <v>246</v>
      </c>
      <c r="D433" s="3" t="s">
        <v>6</v>
      </c>
      <c r="E433" s="8">
        <v>46048</v>
      </c>
      <c r="F433" s="3">
        <v>65</v>
      </c>
      <c r="G433" t="s">
        <v>129</v>
      </c>
    </row>
    <row r="434" spans="1:7" ht="14.45" customHeight="1" x14ac:dyDescent="0.25">
      <c r="B434" s="9">
        <v>78</v>
      </c>
      <c r="C434" s="3" t="s">
        <v>242</v>
      </c>
      <c r="D434" s="3" t="s">
        <v>6</v>
      </c>
      <c r="E434" s="8">
        <v>46052</v>
      </c>
      <c r="F434" s="3">
        <v>52</v>
      </c>
      <c r="G434" t="s">
        <v>129</v>
      </c>
    </row>
    <row r="435" spans="1:7" ht="14.45" customHeight="1" x14ac:dyDescent="0.25">
      <c r="B435" s="9">
        <v>80</v>
      </c>
      <c r="C435" s="3" t="s">
        <v>146</v>
      </c>
      <c r="D435" s="3" t="s">
        <v>6</v>
      </c>
      <c r="E435" s="76">
        <v>46049</v>
      </c>
      <c r="F435" s="3">
        <v>65</v>
      </c>
      <c r="G435" t="s">
        <v>14</v>
      </c>
    </row>
    <row r="438" spans="1:7" ht="14.45" customHeight="1" x14ac:dyDescent="0.25">
      <c r="A438" s="78"/>
      <c r="B438" s="78"/>
      <c r="C438" s="78"/>
      <c r="D438" s="78"/>
      <c r="E438" s="78"/>
      <c r="F438" s="78"/>
      <c r="G438" s="78"/>
    </row>
    <row r="440" spans="1:7" ht="14.45" customHeight="1" x14ac:dyDescent="0.25">
      <c r="A440" s="156" t="s">
        <v>349</v>
      </c>
      <c r="B440" s="156"/>
      <c r="C440" s="156"/>
      <c r="D440" s="156"/>
      <c r="E440" s="156"/>
      <c r="F440" s="156"/>
      <c r="G440" s="156"/>
    </row>
    <row r="442" spans="1:7" ht="14.45" customHeight="1" x14ac:dyDescent="0.25">
      <c r="B442" s="157" t="s">
        <v>350</v>
      </c>
      <c r="C442" s="157"/>
      <c r="D442" s="157"/>
      <c r="E442" s="157"/>
      <c r="F442" s="157"/>
    </row>
    <row r="443" spans="1:7" ht="14.45" customHeight="1" x14ac:dyDescent="0.25">
      <c r="B443" s="10" t="s">
        <v>0</v>
      </c>
      <c r="C443" s="69" t="s">
        <v>1</v>
      </c>
      <c r="D443" s="10" t="s">
        <v>128</v>
      </c>
      <c r="E443" s="10" t="s">
        <v>120</v>
      </c>
      <c r="F443" s="17" t="s">
        <v>2</v>
      </c>
    </row>
    <row r="444" spans="1:7" ht="14.45" customHeight="1" x14ac:dyDescent="0.25">
      <c r="B444" s="9">
        <v>59</v>
      </c>
      <c r="C444" s="14" t="s">
        <v>183</v>
      </c>
      <c r="D444" s="3" t="s">
        <v>6</v>
      </c>
      <c r="E444" s="8">
        <v>46056.647058823532</v>
      </c>
      <c r="F444" s="3">
        <v>60</v>
      </c>
    </row>
    <row r="445" spans="1:7" ht="14.45" customHeight="1" x14ac:dyDescent="0.25">
      <c r="B445" s="9">
        <v>103</v>
      </c>
      <c r="C445" s="3" t="s">
        <v>274</v>
      </c>
      <c r="D445" s="3" t="s">
        <v>12</v>
      </c>
      <c r="E445" s="8">
        <v>46061</v>
      </c>
      <c r="F445" s="3">
        <v>40</v>
      </c>
    </row>
    <row r="446" spans="1:7" ht="14.45" customHeight="1" x14ac:dyDescent="0.25">
      <c r="B446" s="9">
        <v>108</v>
      </c>
      <c r="C446" s="3" t="s">
        <v>250</v>
      </c>
      <c r="D446" s="3" t="s">
        <v>12</v>
      </c>
      <c r="E446" s="8">
        <v>46055</v>
      </c>
      <c r="F446" s="3">
        <v>38</v>
      </c>
    </row>
    <row r="447" spans="1:7" ht="14.45" customHeight="1" x14ac:dyDescent="0.25">
      <c r="B447" s="9">
        <v>109</v>
      </c>
      <c r="C447" s="3" t="s">
        <v>249</v>
      </c>
      <c r="D447" s="3" t="s">
        <v>12</v>
      </c>
      <c r="E447" s="8">
        <v>46061</v>
      </c>
      <c r="F447" s="3">
        <v>39</v>
      </c>
    </row>
    <row r="449" spans="1:7" ht="14.45" customHeight="1" x14ac:dyDescent="0.25">
      <c r="B449" s="157" t="s">
        <v>351</v>
      </c>
      <c r="C449" s="157"/>
      <c r="D449" s="157"/>
      <c r="E449" s="157"/>
      <c r="F449" s="157"/>
    </row>
    <row r="450" spans="1:7" ht="14.45" customHeight="1" x14ac:dyDescent="0.25">
      <c r="B450" s="10" t="s">
        <v>0</v>
      </c>
      <c r="C450" s="69" t="s">
        <v>1</v>
      </c>
      <c r="D450" s="10" t="s">
        <v>128</v>
      </c>
      <c r="E450" s="10" t="s">
        <v>120</v>
      </c>
      <c r="F450" s="17" t="s">
        <v>2</v>
      </c>
    </row>
    <row r="451" spans="1:7" ht="14.45" customHeight="1" x14ac:dyDescent="0.25">
      <c r="B451" s="9">
        <v>66</v>
      </c>
      <c r="C451" s="3" t="s">
        <v>273</v>
      </c>
      <c r="D451" s="3" t="s">
        <v>6</v>
      </c>
      <c r="E451" s="76">
        <v>46056.857142857145</v>
      </c>
      <c r="F451" s="3">
        <v>65</v>
      </c>
    </row>
    <row r="453" spans="1:7" ht="14.45" customHeight="1" x14ac:dyDescent="0.25">
      <c r="B453" s="157" t="s">
        <v>352</v>
      </c>
      <c r="C453" s="157"/>
      <c r="D453" s="157"/>
      <c r="E453" s="157"/>
      <c r="F453" s="157"/>
    </row>
    <row r="454" spans="1:7" ht="14.45" customHeight="1" x14ac:dyDescent="0.25">
      <c r="B454" s="10" t="s">
        <v>0</v>
      </c>
      <c r="C454" s="69" t="s">
        <v>1</v>
      </c>
      <c r="D454" s="10" t="s">
        <v>128</v>
      </c>
      <c r="E454" s="10" t="s">
        <v>120</v>
      </c>
      <c r="F454" s="17" t="s">
        <v>2</v>
      </c>
    </row>
    <row r="455" spans="1:7" ht="14.45" customHeight="1" x14ac:dyDescent="0.25">
      <c r="B455" s="9">
        <v>73</v>
      </c>
      <c r="C455" s="3" t="s">
        <v>247</v>
      </c>
      <c r="D455" s="3" t="s">
        <v>6</v>
      </c>
      <c r="E455" s="8">
        <v>46055</v>
      </c>
      <c r="F455" s="3">
        <v>65</v>
      </c>
      <c r="G455" t="s">
        <v>129</v>
      </c>
    </row>
    <row r="456" spans="1:7" ht="14.45" customHeight="1" x14ac:dyDescent="0.25">
      <c r="B456" s="9">
        <v>96</v>
      </c>
      <c r="C456" s="3" t="s">
        <v>239</v>
      </c>
      <c r="D456" s="3" t="s">
        <v>16</v>
      </c>
      <c r="E456" s="8">
        <v>46056</v>
      </c>
      <c r="F456" s="3">
        <v>65</v>
      </c>
      <c r="G456" t="s">
        <v>129</v>
      </c>
    </row>
    <row r="457" spans="1:7" ht="14.45" customHeight="1" x14ac:dyDescent="0.25">
      <c r="B457" s="9">
        <v>76</v>
      </c>
      <c r="C457" s="3" t="s">
        <v>151</v>
      </c>
      <c r="D457" s="3" t="s">
        <v>6</v>
      </c>
      <c r="E457" s="8">
        <v>46059</v>
      </c>
      <c r="F457" s="3">
        <v>58</v>
      </c>
      <c r="G457" t="s">
        <v>14</v>
      </c>
    </row>
    <row r="458" spans="1:7" ht="14.45" customHeight="1" x14ac:dyDescent="0.25">
      <c r="B458" s="9">
        <v>83</v>
      </c>
      <c r="C458" s="14" t="s">
        <v>293</v>
      </c>
      <c r="D458" s="3" t="s">
        <v>6</v>
      </c>
      <c r="E458" s="8">
        <v>46056</v>
      </c>
      <c r="F458" s="3">
        <v>15</v>
      </c>
      <c r="G458" t="s">
        <v>14</v>
      </c>
    </row>
    <row r="459" spans="1:7" ht="14.45" customHeight="1" x14ac:dyDescent="0.25">
      <c r="B459" s="9">
        <v>97</v>
      </c>
      <c r="C459" s="3" t="s">
        <v>141</v>
      </c>
      <c r="D459" s="3" t="s">
        <v>16</v>
      </c>
      <c r="E459" s="8">
        <v>46056</v>
      </c>
      <c r="F459" s="3">
        <v>65</v>
      </c>
      <c r="G459" t="s">
        <v>14</v>
      </c>
    </row>
    <row r="462" spans="1:7" ht="14.45" customHeight="1" x14ac:dyDescent="0.25">
      <c r="A462" s="78"/>
      <c r="B462" s="78"/>
      <c r="C462" s="78"/>
      <c r="D462" s="78"/>
      <c r="E462" s="78"/>
      <c r="F462" s="78"/>
      <c r="G462" s="78"/>
    </row>
    <row r="464" spans="1:7" ht="14.45" customHeight="1" x14ac:dyDescent="0.25">
      <c r="A464" s="156" t="s">
        <v>363</v>
      </c>
      <c r="B464" s="156"/>
      <c r="C464" s="156"/>
      <c r="D464" s="156"/>
      <c r="E464" s="156"/>
      <c r="F464" s="156"/>
      <c r="G464" s="156"/>
    </row>
    <row r="466" spans="2:6" ht="14.45" customHeight="1" x14ac:dyDescent="0.25">
      <c r="B466" s="157" t="s">
        <v>364</v>
      </c>
      <c r="C466" s="157"/>
      <c r="D466" s="157"/>
      <c r="E466" s="157"/>
      <c r="F466" s="157"/>
    </row>
    <row r="467" spans="2:6" ht="14.45" customHeight="1" x14ac:dyDescent="0.25">
      <c r="B467" s="10" t="s">
        <v>0</v>
      </c>
      <c r="C467" s="69" t="s">
        <v>1</v>
      </c>
      <c r="D467" s="10" t="s">
        <v>128</v>
      </c>
      <c r="E467" s="10" t="s">
        <v>120</v>
      </c>
      <c r="F467" s="17" t="s">
        <v>2</v>
      </c>
    </row>
    <row r="468" spans="2:6" ht="14.45" customHeight="1" x14ac:dyDescent="0.25">
      <c r="B468" s="9" t="s">
        <v>223</v>
      </c>
      <c r="C468" s="3" t="s">
        <v>223</v>
      </c>
      <c r="D468" s="3" t="s">
        <v>223</v>
      </c>
      <c r="E468" s="8" t="s">
        <v>223</v>
      </c>
      <c r="F468" s="3" t="s">
        <v>223</v>
      </c>
    </row>
    <row r="471" spans="2:6" ht="14.45" customHeight="1" x14ac:dyDescent="0.25">
      <c r="B471" s="157" t="s">
        <v>365</v>
      </c>
      <c r="C471" s="157"/>
      <c r="D471" s="157"/>
      <c r="E471" s="157"/>
      <c r="F471" s="157"/>
    </row>
    <row r="472" spans="2:6" ht="14.45" customHeight="1" x14ac:dyDescent="0.25">
      <c r="B472" s="10" t="s">
        <v>0</v>
      </c>
      <c r="C472" s="69" t="s">
        <v>1</v>
      </c>
      <c r="D472" s="10" t="s">
        <v>128</v>
      </c>
      <c r="E472" s="10" t="s">
        <v>120</v>
      </c>
      <c r="F472" s="17" t="s">
        <v>2</v>
      </c>
    </row>
    <row r="473" spans="2:6" ht="14.45" customHeight="1" x14ac:dyDescent="0.25">
      <c r="B473" s="9">
        <v>46</v>
      </c>
      <c r="C473" s="3" t="s">
        <v>327</v>
      </c>
      <c r="D473" s="3" t="s">
        <v>16</v>
      </c>
      <c r="E473" s="8">
        <v>46068</v>
      </c>
      <c r="F473" s="3">
        <v>65</v>
      </c>
    </row>
    <row r="474" spans="2:6" ht="14.45" customHeight="1" x14ac:dyDescent="0.25">
      <c r="B474" s="9">
        <v>48</v>
      </c>
      <c r="C474" s="3" t="s">
        <v>317</v>
      </c>
      <c r="D474" s="3" t="s">
        <v>16</v>
      </c>
      <c r="E474" s="8">
        <v>46068</v>
      </c>
      <c r="F474" s="3">
        <v>65</v>
      </c>
    </row>
    <row r="475" spans="2:6" ht="14.45" customHeight="1" x14ac:dyDescent="0.25">
      <c r="B475" s="9">
        <v>66</v>
      </c>
      <c r="C475" s="3" t="s">
        <v>273</v>
      </c>
      <c r="D475" s="3" t="s">
        <v>6</v>
      </c>
      <c r="E475" s="8">
        <v>46065.333333333336</v>
      </c>
      <c r="F475" s="3">
        <v>65</v>
      </c>
    </row>
    <row r="476" spans="2:6" ht="14.45" customHeight="1" x14ac:dyDescent="0.25">
      <c r="B476" s="9">
        <v>84</v>
      </c>
      <c r="C476" s="3" t="s">
        <v>316</v>
      </c>
      <c r="D476" s="3" t="s">
        <v>16</v>
      </c>
      <c r="E476" s="8">
        <v>46068</v>
      </c>
      <c r="F476" s="3">
        <v>65</v>
      </c>
    </row>
    <row r="477" spans="2:6" ht="14.45" customHeight="1" x14ac:dyDescent="0.25">
      <c r="B477" s="9">
        <v>85</v>
      </c>
      <c r="C477" s="3" t="s">
        <v>312</v>
      </c>
      <c r="D477" s="3" t="s">
        <v>16</v>
      </c>
      <c r="E477" s="8">
        <v>46066</v>
      </c>
      <c r="F477" s="3">
        <v>65</v>
      </c>
    </row>
    <row r="478" spans="2:6" ht="14.45" customHeight="1" x14ac:dyDescent="0.25">
      <c r="B478" s="9">
        <v>88</v>
      </c>
      <c r="C478" s="3" t="s">
        <v>315</v>
      </c>
      <c r="D478" s="3" t="s">
        <v>16</v>
      </c>
      <c r="E478" s="8">
        <v>46067</v>
      </c>
      <c r="F478" s="3">
        <v>65</v>
      </c>
    </row>
    <row r="479" spans="2:6" ht="14.45" customHeight="1" x14ac:dyDescent="0.25">
      <c r="B479" s="9">
        <v>89</v>
      </c>
      <c r="C479" s="3" t="s">
        <v>272</v>
      </c>
      <c r="D479" s="3" t="s">
        <v>16</v>
      </c>
      <c r="E479" s="8">
        <v>46062.481481481482</v>
      </c>
      <c r="F479" s="3">
        <v>65</v>
      </c>
    </row>
    <row r="482" spans="1:7" ht="14.45" customHeight="1" x14ac:dyDescent="0.25">
      <c r="B482" s="157" t="s">
        <v>366</v>
      </c>
      <c r="C482" s="157"/>
      <c r="D482" s="157"/>
      <c r="E482" s="157"/>
      <c r="F482" s="157"/>
    </row>
    <row r="483" spans="1:7" ht="14.45" customHeight="1" x14ac:dyDescent="0.25">
      <c r="B483" s="10" t="s">
        <v>0</v>
      </c>
      <c r="C483" s="69" t="s">
        <v>1</v>
      </c>
      <c r="D483" s="10" t="s">
        <v>128</v>
      </c>
      <c r="E483" s="10" t="s">
        <v>120</v>
      </c>
      <c r="F483" s="17" t="s">
        <v>2</v>
      </c>
    </row>
    <row r="484" spans="1:7" ht="14.45" customHeight="1" x14ac:dyDescent="0.25">
      <c r="B484" s="9">
        <v>66</v>
      </c>
      <c r="C484" s="3" t="s">
        <v>273</v>
      </c>
      <c r="D484" s="3" t="s">
        <v>6</v>
      </c>
      <c r="E484" s="8">
        <v>46066</v>
      </c>
      <c r="F484" s="3">
        <v>65</v>
      </c>
      <c r="G484" t="s">
        <v>129</v>
      </c>
    </row>
    <row r="487" spans="1:7" ht="14.45" customHeight="1" x14ac:dyDescent="0.25">
      <c r="A487" s="78"/>
      <c r="B487" s="78"/>
      <c r="C487" s="78"/>
      <c r="D487" s="78"/>
      <c r="E487" s="78"/>
      <c r="F487" s="78"/>
      <c r="G487" s="78"/>
    </row>
    <row r="489" spans="1:7" ht="14.45" customHeight="1" x14ac:dyDescent="0.25">
      <c r="A489" s="156" t="s">
        <v>372</v>
      </c>
      <c r="B489" s="156"/>
      <c r="C489" s="156"/>
      <c r="D489" s="156"/>
      <c r="E489" s="156"/>
      <c r="F489" s="156"/>
      <c r="G489" s="156"/>
    </row>
    <row r="491" spans="1:7" ht="14.45" customHeight="1" x14ac:dyDescent="0.25">
      <c r="B491" s="157" t="s">
        <v>373</v>
      </c>
      <c r="C491" s="157"/>
      <c r="D491" s="157"/>
      <c r="E491" s="157"/>
      <c r="F491" s="157"/>
    </row>
    <row r="492" spans="1:7" ht="14.45" customHeight="1" x14ac:dyDescent="0.25">
      <c r="B492" s="10" t="s">
        <v>0</v>
      </c>
      <c r="C492" s="69" t="s">
        <v>1</v>
      </c>
      <c r="D492" s="10" t="s">
        <v>128</v>
      </c>
      <c r="E492" s="10" t="s">
        <v>120</v>
      </c>
      <c r="F492" s="17" t="s">
        <v>2</v>
      </c>
    </row>
    <row r="493" spans="1:7" ht="14.45" customHeight="1" x14ac:dyDescent="0.25">
      <c r="B493" s="9">
        <v>65</v>
      </c>
      <c r="C493" s="3" t="s">
        <v>244</v>
      </c>
      <c r="D493" s="3" t="s">
        <v>6</v>
      </c>
      <c r="E493" s="8">
        <v>46073.888888888891</v>
      </c>
      <c r="F493" s="3">
        <v>38</v>
      </c>
    </row>
    <row r="494" spans="1:7" ht="14.45" customHeight="1" x14ac:dyDescent="0.25">
      <c r="B494" s="9">
        <v>113</v>
      </c>
      <c r="C494" s="3" t="s">
        <v>276</v>
      </c>
      <c r="D494" s="3" t="s">
        <v>12</v>
      </c>
      <c r="E494" s="8">
        <v>46075</v>
      </c>
      <c r="F494" s="3">
        <v>29</v>
      </c>
    </row>
    <row r="495" spans="1:7" ht="14.45" customHeight="1" x14ac:dyDescent="0.25">
      <c r="B495" s="17">
        <v>80</v>
      </c>
      <c r="C495" s="11" t="s">
        <v>146</v>
      </c>
      <c r="D495" s="11" t="s">
        <v>6</v>
      </c>
      <c r="E495" s="76">
        <v>46066</v>
      </c>
      <c r="F495" s="11">
        <v>65</v>
      </c>
    </row>
    <row r="497" spans="1:7" ht="14.45" customHeight="1" x14ac:dyDescent="0.25">
      <c r="B497" s="157" t="s">
        <v>374</v>
      </c>
      <c r="C497" s="157"/>
      <c r="D497" s="157"/>
      <c r="E497" s="157"/>
      <c r="F497" s="157"/>
    </row>
    <row r="498" spans="1:7" ht="14.45" customHeight="1" x14ac:dyDescent="0.25">
      <c r="B498" s="10" t="s">
        <v>0</v>
      </c>
      <c r="C498" s="69" t="s">
        <v>1</v>
      </c>
      <c r="D498" s="10" t="s">
        <v>128</v>
      </c>
      <c r="E498" s="10" t="s">
        <v>120</v>
      </c>
      <c r="F498" s="17" t="s">
        <v>2</v>
      </c>
    </row>
    <row r="499" spans="1:7" ht="14.45" customHeight="1" x14ac:dyDescent="0.25">
      <c r="B499" s="9">
        <v>62</v>
      </c>
      <c r="C499" s="3" t="s">
        <v>275</v>
      </c>
      <c r="D499" s="3" t="s">
        <v>6</v>
      </c>
      <c r="E499" s="70">
        <v>46071</v>
      </c>
      <c r="F499" s="3">
        <v>63</v>
      </c>
    </row>
    <row r="500" spans="1:7" ht="14.45" customHeight="1" x14ac:dyDescent="0.25">
      <c r="B500" s="9">
        <v>78</v>
      </c>
      <c r="C500" s="3" t="s">
        <v>242</v>
      </c>
      <c r="D500" s="3" t="s">
        <v>6</v>
      </c>
      <c r="E500" s="8">
        <v>46070.888888888891</v>
      </c>
      <c r="F500" s="3">
        <v>52</v>
      </c>
    </row>
    <row r="503" spans="1:7" ht="14.45" customHeight="1" x14ac:dyDescent="0.25">
      <c r="B503" s="157" t="s">
        <v>375</v>
      </c>
      <c r="C503" s="157"/>
      <c r="D503" s="157"/>
      <c r="E503" s="157"/>
      <c r="F503" s="157"/>
    </row>
    <row r="504" spans="1:7" ht="14.45" customHeight="1" x14ac:dyDescent="0.25">
      <c r="B504" s="10" t="s">
        <v>0</v>
      </c>
      <c r="C504" s="69" t="s">
        <v>1</v>
      </c>
      <c r="D504" s="10" t="s">
        <v>128</v>
      </c>
      <c r="E504" s="10" t="s">
        <v>120</v>
      </c>
      <c r="F504" s="17" t="s">
        <v>2</v>
      </c>
    </row>
    <row r="505" spans="1:7" ht="14.45" customHeight="1" x14ac:dyDescent="0.25">
      <c r="B505" s="9">
        <v>62</v>
      </c>
      <c r="C505" s="3" t="s">
        <v>275</v>
      </c>
      <c r="D505" s="3" t="s">
        <v>6</v>
      </c>
      <c r="E505" s="8">
        <v>46073</v>
      </c>
      <c r="F505" s="3">
        <v>63</v>
      </c>
      <c r="G505" t="s">
        <v>129</v>
      </c>
    </row>
    <row r="506" spans="1:7" ht="14.45" customHeight="1" x14ac:dyDescent="0.25">
      <c r="B506" s="9">
        <v>99</v>
      </c>
      <c r="C506" s="3" t="s">
        <v>192</v>
      </c>
      <c r="D506" s="3" t="s">
        <v>16</v>
      </c>
      <c r="E506" s="8">
        <v>46073</v>
      </c>
      <c r="F506" s="3">
        <v>67</v>
      </c>
      <c r="G506" t="s">
        <v>14</v>
      </c>
    </row>
    <row r="509" spans="1:7" ht="14.45" customHeight="1" x14ac:dyDescent="0.25">
      <c r="A509" s="78"/>
      <c r="B509" s="78"/>
      <c r="C509" s="78"/>
      <c r="D509" s="78"/>
      <c r="E509" s="78"/>
      <c r="F509" s="78"/>
      <c r="G509" s="78"/>
    </row>
    <row r="511" spans="1:7" ht="14.45" customHeight="1" x14ac:dyDescent="0.25">
      <c r="A511" s="156" t="s">
        <v>378</v>
      </c>
      <c r="B511" s="156"/>
      <c r="C511" s="156"/>
      <c r="D511" s="156"/>
      <c r="E511" s="156"/>
      <c r="F511" s="156"/>
      <c r="G511" s="156"/>
    </row>
    <row r="513" spans="2:7" ht="14.45" customHeight="1" x14ac:dyDescent="0.25">
      <c r="B513" s="157" t="s">
        <v>379</v>
      </c>
      <c r="C513" s="157"/>
      <c r="D513" s="157"/>
      <c r="E513" s="157"/>
      <c r="F513" s="157"/>
    </row>
    <row r="514" spans="2:7" ht="14.45" customHeight="1" x14ac:dyDescent="0.25">
      <c r="B514" s="10" t="s">
        <v>0</v>
      </c>
      <c r="C514" s="69" t="s">
        <v>1</v>
      </c>
      <c r="D514" s="10" t="s">
        <v>128</v>
      </c>
      <c r="E514" s="10" t="s">
        <v>120</v>
      </c>
      <c r="F514" s="17" t="s">
        <v>2</v>
      </c>
    </row>
    <row r="515" spans="2:7" ht="14.45" customHeight="1" x14ac:dyDescent="0.25">
      <c r="B515" s="9" t="s">
        <v>223</v>
      </c>
      <c r="C515" s="3" t="s">
        <v>223</v>
      </c>
      <c r="D515" s="3" t="s">
        <v>223</v>
      </c>
      <c r="E515" s="8" t="s">
        <v>223</v>
      </c>
      <c r="F515" s="3" t="s">
        <v>223</v>
      </c>
    </row>
    <row r="517" spans="2:7" ht="14.45" customHeight="1" x14ac:dyDescent="0.25">
      <c r="B517" s="157" t="s">
        <v>380</v>
      </c>
      <c r="C517" s="157"/>
      <c r="D517" s="157"/>
      <c r="E517" s="157"/>
      <c r="F517" s="157"/>
    </row>
    <row r="518" spans="2:7" ht="14.45" customHeight="1" x14ac:dyDescent="0.25">
      <c r="B518" s="10" t="s">
        <v>0</v>
      </c>
      <c r="C518" s="69" t="s">
        <v>1</v>
      </c>
      <c r="D518" s="10" t="s">
        <v>128</v>
      </c>
      <c r="E518" s="10" t="s">
        <v>120</v>
      </c>
      <c r="F518" s="17" t="s">
        <v>2</v>
      </c>
    </row>
    <row r="519" spans="2:7" ht="14.45" customHeight="1" x14ac:dyDescent="0.25">
      <c r="B519" s="9">
        <v>75</v>
      </c>
      <c r="C519" s="3" t="s">
        <v>289</v>
      </c>
      <c r="D519" s="3" t="s">
        <v>6</v>
      </c>
      <c r="E519" s="76">
        <v>46080</v>
      </c>
      <c r="F519" s="3">
        <v>65</v>
      </c>
    </row>
    <row r="520" spans="2:7" ht="14.45" customHeight="1" x14ac:dyDescent="0.25">
      <c r="B520" s="9">
        <v>87</v>
      </c>
      <c r="C520" s="3" t="s">
        <v>314</v>
      </c>
      <c r="D520" s="3" t="s">
        <v>16</v>
      </c>
      <c r="E520" s="76">
        <v>46077</v>
      </c>
      <c r="F520" s="3">
        <v>65</v>
      </c>
    </row>
    <row r="522" spans="2:7" ht="14.45" customHeight="1" x14ac:dyDescent="0.25">
      <c r="B522" s="157" t="s">
        <v>381</v>
      </c>
      <c r="C522" s="157"/>
      <c r="D522" s="157"/>
      <c r="E522" s="157"/>
      <c r="F522" s="157"/>
    </row>
    <row r="523" spans="2:7" ht="14.45" customHeight="1" x14ac:dyDescent="0.25">
      <c r="B523" s="10" t="s">
        <v>0</v>
      </c>
      <c r="C523" s="69" t="s">
        <v>1</v>
      </c>
      <c r="D523" s="10" t="s">
        <v>128</v>
      </c>
      <c r="E523" s="10" t="s">
        <v>120</v>
      </c>
      <c r="F523" s="17" t="s">
        <v>2</v>
      </c>
    </row>
    <row r="524" spans="2:7" ht="14.45" customHeight="1" x14ac:dyDescent="0.25">
      <c r="B524" s="9">
        <v>18</v>
      </c>
      <c r="C524" s="3" t="s">
        <v>245</v>
      </c>
      <c r="D524" s="3" t="s">
        <v>6</v>
      </c>
      <c r="E524" s="8">
        <v>46080</v>
      </c>
      <c r="F524" s="3">
        <v>19</v>
      </c>
      <c r="G524" t="s">
        <v>129</v>
      </c>
    </row>
    <row r="525" spans="2:7" ht="14.45" customHeight="1" x14ac:dyDescent="0.25">
      <c r="B525" s="9">
        <v>61</v>
      </c>
      <c r="C525" s="3" t="s">
        <v>288</v>
      </c>
      <c r="D525" s="3" t="s">
        <v>6</v>
      </c>
      <c r="E525" s="8">
        <v>46080</v>
      </c>
      <c r="F525" s="3">
        <v>65</v>
      </c>
      <c r="G525" t="s">
        <v>129</v>
      </c>
    </row>
    <row r="526" spans="2:7" ht="14.45" customHeight="1" x14ac:dyDescent="0.25">
      <c r="B526" s="9">
        <v>89</v>
      </c>
      <c r="C526" s="3" t="s">
        <v>272</v>
      </c>
      <c r="D526" s="3" t="s">
        <v>16</v>
      </c>
      <c r="E526" s="8">
        <v>46081</v>
      </c>
      <c r="F526" s="3">
        <v>65</v>
      </c>
      <c r="G526" t="s">
        <v>129</v>
      </c>
    </row>
    <row r="527" spans="2:7" ht="14.45" customHeight="1" x14ac:dyDescent="0.25">
      <c r="B527" s="9">
        <v>63</v>
      </c>
      <c r="C527" s="3" t="s">
        <v>292</v>
      </c>
      <c r="D527" s="3" t="s">
        <v>6</v>
      </c>
      <c r="E527" s="8">
        <v>46078</v>
      </c>
      <c r="F527" s="3">
        <v>34</v>
      </c>
      <c r="G527" t="s">
        <v>14</v>
      </c>
    </row>
    <row r="528" spans="2:7" ht="14.45" customHeight="1" x14ac:dyDescent="0.25">
      <c r="B528" s="9">
        <v>77</v>
      </c>
      <c r="C528" s="14" t="s">
        <v>180</v>
      </c>
      <c r="D528" s="3" t="s">
        <v>6</v>
      </c>
      <c r="E528" s="8">
        <v>46078</v>
      </c>
      <c r="F528" s="3">
        <v>60</v>
      </c>
      <c r="G528" t="s">
        <v>14</v>
      </c>
    </row>
    <row r="531" spans="1:7" ht="14.45" customHeight="1" x14ac:dyDescent="0.25">
      <c r="A531" s="78"/>
      <c r="B531" s="78"/>
      <c r="C531" s="78"/>
      <c r="D531" s="78"/>
      <c r="E531" s="78"/>
      <c r="F531" s="78"/>
      <c r="G531" s="78"/>
    </row>
    <row r="533" spans="1:7" ht="14.45" customHeight="1" x14ac:dyDescent="0.25">
      <c r="A533" s="156" t="s">
        <v>392</v>
      </c>
      <c r="B533" s="156"/>
      <c r="C533" s="156"/>
      <c r="D533" s="156"/>
      <c r="E533" s="156"/>
      <c r="F533" s="156"/>
      <c r="G533" s="156"/>
    </row>
    <row r="535" spans="1:7" ht="14.45" customHeight="1" x14ac:dyDescent="0.25">
      <c r="B535" s="157" t="s">
        <v>393</v>
      </c>
      <c r="C535" s="157"/>
      <c r="D535" s="157"/>
      <c r="E535" s="157"/>
      <c r="F535" s="157"/>
    </row>
    <row r="536" spans="1:7" ht="14.45" customHeight="1" x14ac:dyDescent="0.25">
      <c r="B536" s="10" t="s">
        <v>0</v>
      </c>
      <c r="C536" s="69" t="s">
        <v>1</v>
      </c>
      <c r="D536" s="10" t="s">
        <v>128</v>
      </c>
      <c r="E536" s="10" t="s">
        <v>120</v>
      </c>
      <c r="F536" s="17" t="s">
        <v>2</v>
      </c>
    </row>
    <row r="537" spans="1:7" ht="14.45" customHeight="1" x14ac:dyDescent="0.25">
      <c r="B537" s="9">
        <v>73</v>
      </c>
      <c r="C537" s="3" t="s">
        <v>247</v>
      </c>
      <c r="D537" s="3" t="s">
        <v>6</v>
      </c>
      <c r="E537" s="8">
        <v>46087</v>
      </c>
      <c r="F537" s="3">
        <v>65</v>
      </c>
    </row>
    <row r="539" spans="1:7" ht="14.45" customHeight="1" x14ac:dyDescent="0.25">
      <c r="B539" s="157" t="s">
        <v>394</v>
      </c>
      <c r="C539" s="157"/>
      <c r="D539" s="157"/>
      <c r="E539" s="157"/>
      <c r="F539" s="157"/>
    </row>
    <row r="540" spans="1:7" ht="14.45" customHeight="1" x14ac:dyDescent="0.25">
      <c r="B540" s="10" t="s">
        <v>0</v>
      </c>
      <c r="C540" s="69" t="s">
        <v>1</v>
      </c>
      <c r="D540" s="10" t="s">
        <v>128</v>
      </c>
      <c r="E540" s="10" t="s">
        <v>120</v>
      </c>
      <c r="F540" s="17" t="s">
        <v>2</v>
      </c>
    </row>
    <row r="541" spans="1:7" ht="14.45" customHeight="1" x14ac:dyDescent="0.25">
      <c r="B541" s="9">
        <v>44</v>
      </c>
      <c r="C541" s="3" t="s">
        <v>291</v>
      </c>
      <c r="D541" s="3" t="s">
        <v>16</v>
      </c>
      <c r="E541" s="8">
        <v>46086.142857142855</v>
      </c>
      <c r="F541" s="3">
        <v>65</v>
      </c>
    </row>
    <row r="542" spans="1:7" ht="14.45" customHeight="1" x14ac:dyDescent="0.25">
      <c r="B542" s="9">
        <v>59</v>
      </c>
      <c r="C542" s="3" t="s">
        <v>304</v>
      </c>
      <c r="D542" s="3" t="s">
        <v>6</v>
      </c>
      <c r="E542" s="8">
        <v>46088</v>
      </c>
      <c r="F542" s="3">
        <v>63</v>
      </c>
    </row>
    <row r="543" spans="1:7" ht="14.45" customHeight="1" x14ac:dyDescent="0.25">
      <c r="B543" s="9">
        <v>61</v>
      </c>
      <c r="C543" s="3" t="s">
        <v>288</v>
      </c>
      <c r="D543" s="3" t="s">
        <v>6</v>
      </c>
      <c r="E543" s="8">
        <v>46084.666666666664</v>
      </c>
      <c r="F543" s="3">
        <v>65</v>
      </c>
    </row>
    <row r="545" spans="1:7" ht="14.45" customHeight="1" x14ac:dyDescent="0.25">
      <c r="B545" t="s">
        <v>395</v>
      </c>
    </row>
    <row r="547" spans="1:7" ht="14.45" customHeight="1" x14ac:dyDescent="0.25">
      <c r="B547" s="157" t="s">
        <v>396</v>
      </c>
      <c r="C547" s="157"/>
      <c r="D547" s="157"/>
      <c r="E547" s="157"/>
      <c r="F547" s="157"/>
    </row>
    <row r="548" spans="1:7" ht="14.45" customHeight="1" x14ac:dyDescent="0.25">
      <c r="B548" s="10" t="s">
        <v>0</v>
      </c>
      <c r="C548" s="69" t="s">
        <v>1</v>
      </c>
      <c r="D548" s="10" t="s">
        <v>128</v>
      </c>
      <c r="E548" s="10" t="s">
        <v>120</v>
      </c>
      <c r="F548" s="17" t="s">
        <v>2</v>
      </c>
    </row>
    <row r="549" spans="1:7" ht="14.45" customHeight="1" x14ac:dyDescent="0.25">
      <c r="B549" s="9">
        <v>75</v>
      </c>
      <c r="C549" s="3" t="s">
        <v>289</v>
      </c>
      <c r="D549" s="3" t="s">
        <v>6</v>
      </c>
      <c r="E549" s="8">
        <v>46084</v>
      </c>
      <c r="F549" s="3">
        <v>65</v>
      </c>
      <c r="G549" t="s">
        <v>129</v>
      </c>
    </row>
    <row r="552" spans="1:7" ht="14.45" customHeight="1" x14ac:dyDescent="0.25">
      <c r="A552" s="78"/>
      <c r="B552" s="78"/>
      <c r="C552" s="78"/>
      <c r="D552" s="78"/>
      <c r="E552" s="78"/>
      <c r="F552" s="78"/>
      <c r="G552" s="78"/>
    </row>
    <row r="554" spans="1:7" ht="14.45" customHeight="1" x14ac:dyDescent="0.25">
      <c r="A554" s="156" t="s">
        <v>398</v>
      </c>
      <c r="B554" s="156"/>
      <c r="C554" s="156"/>
      <c r="D554" s="156"/>
      <c r="E554" s="156"/>
      <c r="F554" s="156"/>
      <c r="G554" s="156"/>
    </row>
    <row r="556" spans="1:7" ht="14.45" customHeight="1" x14ac:dyDescent="0.25">
      <c r="B556" s="157" t="s">
        <v>399</v>
      </c>
      <c r="C556" s="157"/>
      <c r="D556" s="157"/>
      <c r="E556" s="157"/>
      <c r="F556" s="157"/>
    </row>
    <row r="557" spans="1:7" ht="14.45" customHeight="1" x14ac:dyDescent="0.25">
      <c r="B557" s="10" t="s">
        <v>0</v>
      </c>
      <c r="C557" s="69" t="s">
        <v>1</v>
      </c>
      <c r="D557" s="10" t="s">
        <v>128</v>
      </c>
      <c r="E557" s="10" t="s">
        <v>120</v>
      </c>
      <c r="F557" s="17" t="s">
        <v>2</v>
      </c>
    </row>
    <row r="558" spans="1:7" ht="14.45" customHeight="1" x14ac:dyDescent="0.25">
      <c r="B558" s="9">
        <v>63</v>
      </c>
      <c r="C558" s="3" t="s">
        <v>292</v>
      </c>
      <c r="D558" s="3" t="s">
        <v>6</v>
      </c>
      <c r="E558" s="8">
        <v>46093.967741935485</v>
      </c>
      <c r="F558" s="3">
        <v>34</v>
      </c>
    </row>
    <row r="559" spans="1:7" ht="14.45" customHeight="1" x14ac:dyDescent="0.25">
      <c r="B559" s="9">
        <v>79</v>
      </c>
      <c r="C559" s="3" t="s">
        <v>243</v>
      </c>
      <c r="D559" s="3" t="s">
        <v>6</v>
      </c>
      <c r="E559" s="8">
        <v>46092.666666666664</v>
      </c>
      <c r="F559" s="3">
        <v>66</v>
      </c>
    </row>
    <row r="560" spans="1:7" ht="14.45" customHeight="1" x14ac:dyDescent="0.25">
      <c r="B560" s="9">
        <v>97</v>
      </c>
      <c r="C560" s="3" t="s">
        <v>141</v>
      </c>
      <c r="D560" s="3" t="s">
        <v>16</v>
      </c>
      <c r="E560" s="8">
        <v>46092.612903225803</v>
      </c>
      <c r="F560" s="3">
        <v>65</v>
      </c>
    </row>
    <row r="561" spans="1:7" ht="14.45" customHeight="1" x14ac:dyDescent="0.25">
      <c r="B561" s="9">
        <v>101</v>
      </c>
      <c r="C561" s="3" t="s">
        <v>311</v>
      </c>
      <c r="D561" s="3" t="s">
        <v>12</v>
      </c>
      <c r="E561" s="8">
        <v>46090</v>
      </c>
      <c r="F561" s="3">
        <v>30</v>
      </c>
    </row>
    <row r="562" spans="1:7" ht="14.45" customHeight="1" x14ac:dyDescent="0.25">
      <c r="B562" s="9">
        <v>102</v>
      </c>
      <c r="C562" s="3" t="s">
        <v>303</v>
      </c>
      <c r="D562" s="3" t="s">
        <v>12</v>
      </c>
      <c r="E562" s="8">
        <v>46090</v>
      </c>
      <c r="F562" s="3">
        <v>24</v>
      </c>
    </row>
    <row r="564" spans="1:7" ht="14.45" customHeight="1" x14ac:dyDescent="0.25">
      <c r="B564" s="157" t="s">
        <v>400</v>
      </c>
      <c r="C564" s="157"/>
      <c r="D564" s="157"/>
      <c r="E564" s="157"/>
      <c r="F564" s="157"/>
    </row>
    <row r="565" spans="1:7" ht="14.45" customHeight="1" x14ac:dyDescent="0.25">
      <c r="B565" s="10" t="s">
        <v>0</v>
      </c>
      <c r="C565" s="69" t="s">
        <v>1</v>
      </c>
      <c r="D565" s="10" t="s">
        <v>128</v>
      </c>
      <c r="E565" s="10" t="s">
        <v>120</v>
      </c>
      <c r="F565" s="17" t="s">
        <v>2</v>
      </c>
    </row>
    <row r="566" spans="1:7" ht="14.45" customHeight="1" x14ac:dyDescent="0.25">
      <c r="B566" s="9">
        <v>35</v>
      </c>
      <c r="C566" s="3" t="s">
        <v>383</v>
      </c>
      <c r="D566" s="3" t="s">
        <v>6</v>
      </c>
      <c r="E566" s="8">
        <v>46092.888888888891</v>
      </c>
      <c r="F566" s="3">
        <v>66</v>
      </c>
    </row>
    <row r="567" spans="1:7" ht="14.45" customHeight="1" x14ac:dyDescent="0.25">
      <c r="B567" s="9">
        <v>64</v>
      </c>
      <c r="C567" s="3" t="s">
        <v>310</v>
      </c>
      <c r="D567" s="3" t="s">
        <v>6</v>
      </c>
      <c r="E567" s="8">
        <v>46094.333333333336</v>
      </c>
      <c r="F567" s="3">
        <v>66</v>
      </c>
    </row>
    <row r="568" spans="1:7" ht="14.45" customHeight="1" x14ac:dyDescent="0.25">
      <c r="B568" s="9">
        <v>94</v>
      </c>
      <c r="C568" s="3" t="s">
        <v>233</v>
      </c>
      <c r="D568" s="3" t="s">
        <v>16</v>
      </c>
      <c r="E568" s="8">
        <v>46095.461538461539</v>
      </c>
      <c r="F568" s="3">
        <v>64</v>
      </c>
    </row>
    <row r="570" spans="1:7" ht="14.45" customHeight="1" x14ac:dyDescent="0.25">
      <c r="B570" s="157" t="s">
        <v>401</v>
      </c>
      <c r="C570" s="157"/>
      <c r="D570" s="157"/>
      <c r="E570" s="157"/>
      <c r="F570" s="157"/>
    </row>
    <row r="571" spans="1:7" ht="14.45" customHeight="1" x14ac:dyDescent="0.25">
      <c r="B571" s="10" t="s">
        <v>0</v>
      </c>
      <c r="C571" s="69" t="s">
        <v>1</v>
      </c>
      <c r="D571" s="10" t="s">
        <v>128</v>
      </c>
      <c r="E571" s="10" t="s">
        <v>120</v>
      </c>
      <c r="F571" s="17" t="s">
        <v>2</v>
      </c>
    </row>
    <row r="572" spans="1:7" ht="14.45" customHeight="1" x14ac:dyDescent="0.25">
      <c r="B572" s="9">
        <v>58</v>
      </c>
      <c r="C572" s="3" t="s">
        <v>286</v>
      </c>
      <c r="D572" s="3" t="s">
        <v>6</v>
      </c>
      <c r="E572" s="76">
        <v>46094</v>
      </c>
      <c r="F572" s="3">
        <v>23</v>
      </c>
      <c r="G572" t="s">
        <v>129</v>
      </c>
    </row>
    <row r="573" spans="1:7" ht="14.45" customHeight="1" x14ac:dyDescent="0.25">
      <c r="B573" s="9">
        <v>59</v>
      </c>
      <c r="C573" s="3" t="s">
        <v>304</v>
      </c>
      <c r="D573" s="3" t="s">
        <v>6</v>
      </c>
      <c r="E573" s="76">
        <v>46090</v>
      </c>
      <c r="F573" s="3">
        <v>63</v>
      </c>
      <c r="G573" t="s">
        <v>129</v>
      </c>
    </row>
    <row r="574" spans="1:7" ht="14.45" customHeight="1" x14ac:dyDescent="0.25">
      <c r="A574" s="77"/>
      <c r="B574" s="9">
        <v>85</v>
      </c>
      <c r="C574" s="3" t="s">
        <v>312</v>
      </c>
      <c r="D574" s="3" t="s">
        <v>16</v>
      </c>
      <c r="E574" s="76">
        <v>46096</v>
      </c>
      <c r="F574" s="3">
        <v>65</v>
      </c>
      <c r="G574" t="s">
        <v>129</v>
      </c>
    </row>
    <row r="575" spans="1:7" ht="14.45" customHeight="1" x14ac:dyDescent="0.25">
      <c r="B575" s="9">
        <v>91</v>
      </c>
      <c r="C575" s="3" t="s">
        <v>190</v>
      </c>
      <c r="D575" s="3" t="s">
        <v>16</v>
      </c>
      <c r="E575" s="76">
        <v>46090</v>
      </c>
      <c r="F575" s="3">
        <v>58</v>
      </c>
      <c r="G575" t="s">
        <v>129</v>
      </c>
    </row>
    <row r="578" spans="1:7" ht="14.45" customHeight="1" x14ac:dyDescent="0.25">
      <c r="A578" s="78"/>
      <c r="B578" s="78"/>
      <c r="C578" s="78"/>
      <c r="D578" s="78"/>
      <c r="E578" s="78"/>
      <c r="F578" s="78"/>
      <c r="G578" s="78"/>
    </row>
    <row r="580" spans="1:7" ht="14.45" customHeight="1" x14ac:dyDescent="0.25">
      <c r="A580" s="156" t="s">
        <v>406</v>
      </c>
      <c r="B580" s="156"/>
      <c r="C580" s="156"/>
      <c r="D580" s="156"/>
      <c r="E580" s="156"/>
      <c r="F580" s="156"/>
      <c r="G580" s="156"/>
    </row>
    <row r="582" spans="1:7" ht="14.45" customHeight="1" x14ac:dyDescent="0.25">
      <c r="B582" s="157" t="s">
        <v>407</v>
      </c>
      <c r="C582" s="157"/>
      <c r="D582" s="157"/>
      <c r="E582" s="157"/>
      <c r="F582" s="157"/>
    </row>
    <row r="583" spans="1:7" ht="14.45" customHeight="1" x14ac:dyDescent="0.25">
      <c r="B583" s="10" t="s">
        <v>0</v>
      </c>
      <c r="C583" s="69" t="s">
        <v>1</v>
      </c>
      <c r="D583" s="10" t="s">
        <v>128</v>
      </c>
      <c r="E583" s="10" t="s">
        <v>120</v>
      </c>
      <c r="F583" s="17" t="s">
        <v>2</v>
      </c>
    </row>
    <row r="584" spans="1:7" ht="14.45" customHeight="1" x14ac:dyDescent="0.25">
      <c r="A584" s="49" t="s">
        <v>408</v>
      </c>
      <c r="B584" s="9">
        <v>73</v>
      </c>
      <c r="C584" s="3" t="s">
        <v>247</v>
      </c>
      <c r="D584" s="3" t="s">
        <v>6</v>
      </c>
      <c r="E584" s="8">
        <v>46087</v>
      </c>
      <c r="F584" s="3">
        <v>65</v>
      </c>
    </row>
    <row r="585" spans="1:7" ht="14.45" customHeight="1" x14ac:dyDescent="0.25">
      <c r="A585" s="49" t="s">
        <v>408</v>
      </c>
      <c r="B585" s="9">
        <v>63</v>
      </c>
      <c r="C585" s="3" t="s">
        <v>292</v>
      </c>
      <c r="D585" s="3" t="s">
        <v>6</v>
      </c>
      <c r="E585" s="8">
        <v>46093.967741935485</v>
      </c>
      <c r="F585" s="3">
        <v>34</v>
      </c>
    </row>
    <row r="586" spans="1:7" ht="14.45" customHeight="1" x14ac:dyDescent="0.25">
      <c r="B586" s="9">
        <v>111</v>
      </c>
      <c r="C586" s="3" t="s">
        <v>367</v>
      </c>
      <c r="D586" s="3" t="s">
        <v>12</v>
      </c>
      <c r="E586" s="76">
        <v>46103</v>
      </c>
      <c r="F586" s="3">
        <v>19</v>
      </c>
    </row>
    <row r="588" spans="1:7" ht="14.45" customHeight="1" x14ac:dyDescent="0.25">
      <c r="B588" s="157" t="s">
        <v>411</v>
      </c>
      <c r="C588" s="157"/>
      <c r="D588" s="157"/>
      <c r="E588" s="157"/>
      <c r="F588" s="157"/>
    </row>
    <row r="589" spans="1:7" ht="14.45" customHeight="1" x14ac:dyDescent="0.25">
      <c r="B589" s="10" t="s">
        <v>0</v>
      </c>
      <c r="C589" s="69" t="s">
        <v>1</v>
      </c>
      <c r="D589" s="10" t="s">
        <v>128</v>
      </c>
      <c r="E589" s="10" t="s">
        <v>120</v>
      </c>
      <c r="F589" s="17" t="s">
        <v>2</v>
      </c>
    </row>
    <row r="590" spans="1:7" ht="14.45" customHeight="1" x14ac:dyDescent="0.25">
      <c r="B590" s="9">
        <v>52</v>
      </c>
      <c r="C590" s="3" t="s">
        <v>336</v>
      </c>
      <c r="D590" s="3" t="s">
        <v>16</v>
      </c>
      <c r="E590" s="8">
        <v>46100.481481481482</v>
      </c>
      <c r="F590" s="3">
        <v>63</v>
      </c>
    </row>
    <row r="591" spans="1:7" ht="14.45" customHeight="1" x14ac:dyDescent="0.25">
      <c r="B591" s="9">
        <v>56</v>
      </c>
      <c r="C591" s="3" t="s">
        <v>333</v>
      </c>
      <c r="D591" s="3" t="s">
        <v>6</v>
      </c>
      <c r="E591" s="8">
        <v>46099.666666666664</v>
      </c>
      <c r="F591" s="3">
        <v>65</v>
      </c>
    </row>
    <row r="592" spans="1:7" ht="14.45" customHeight="1" x14ac:dyDescent="0.25">
      <c r="B592" s="9">
        <v>82</v>
      </c>
      <c r="C592" s="3" t="s">
        <v>331</v>
      </c>
      <c r="D592" s="3" t="s">
        <v>6</v>
      </c>
      <c r="E592" s="8">
        <v>46100.666666666664</v>
      </c>
      <c r="F592" s="3">
        <v>65</v>
      </c>
    </row>
    <row r="593" spans="2:7" ht="14.45" customHeight="1" x14ac:dyDescent="0.25">
      <c r="B593" s="9">
        <v>86</v>
      </c>
      <c r="C593" s="3" t="s">
        <v>313</v>
      </c>
      <c r="D593" s="3" t="s">
        <v>16</v>
      </c>
      <c r="E593" s="8">
        <v>46097</v>
      </c>
      <c r="F593" s="3">
        <v>65</v>
      </c>
    </row>
    <row r="594" spans="2:7" ht="14.45" customHeight="1" x14ac:dyDescent="0.25">
      <c r="B594" s="9">
        <v>207</v>
      </c>
      <c r="C594" s="3" t="s">
        <v>388</v>
      </c>
      <c r="D594" s="3" t="s">
        <v>6</v>
      </c>
      <c r="E594" s="8">
        <v>46101.888888888891</v>
      </c>
      <c r="F594" s="3">
        <v>41</v>
      </c>
    </row>
    <row r="596" spans="2:7" ht="14.45" customHeight="1" x14ac:dyDescent="0.25">
      <c r="B596" s="157" t="s">
        <v>412</v>
      </c>
      <c r="C596" s="157"/>
      <c r="D596" s="157"/>
      <c r="E596" s="157"/>
      <c r="F596" s="157"/>
    </row>
    <row r="597" spans="2:7" ht="14.45" customHeight="1" x14ac:dyDescent="0.25">
      <c r="B597" s="10" t="s">
        <v>0</v>
      </c>
      <c r="C597" s="69" t="s">
        <v>1</v>
      </c>
      <c r="D597" s="10" t="s">
        <v>128</v>
      </c>
      <c r="E597" s="10" t="s">
        <v>120</v>
      </c>
      <c r="F597" s="17" t="s">
        <v>2</v>
      </c>
    </row>
    <row r="598" spans="2:7" ht="14.45" customHeight="1" x14ac:dyDescent="0.25">
      <c r="B598" s="9">
        <v>35</v>
      </c>
      <c r="C598" s="3" t="s">
        <v>326</v>
      </c>
      <c r="D598" s="3" t="s">
        <v>16</v>
      </c>
      <c r="E598" s="8">
        <v>46098</v>
      </c>
      <c r="F598" s="3">
        <v>26</v>
      </c>
      <c r="G598" t="s">
        <v>129</v>
      </c>
    </row>
    <row r="599" spans="2:7" ht="14.45" customHeight="1" x14ac:dyDescent="0.25">
      <c r="B599" s="9">
        <v>37</v>
      </c>
      <c r="C599" s="3" t="s">
        <v>324</v>
      </c>
      <c r="D599" s="3" t="s">
        <v>16</v>
      </c>
      <c r="E599" s="8">
        <v>46098</v>
      </c>
      <c r="F599" s="3">
        <v>23</v>
      </c>
      <c r="G599" t="s">
        <v>129</v>
      </c>
    </row>
    <row r="600" spans="2:7" ht="14.45" customHeight="1" x14ac:dyDescent="0.25">
      <c r="B600" s="9">
        <v>46</v>
      </c>
      <c r="C600" s="3" t="s">
        <v>327</v>
      </c>
      <c r="D600" s="3" t="s">
        <v>16</v>
      </c>
      <c r="E600" s="8">
        <v>46098</v>
      </c>
      <c r="F600" s="3">
        <v>65</v>
      </c>
      <c r="G600" t="s">
        <v>129</v>
      </c>
    </row>
    <row r="601" spans="2:7" ht="14.45" customHeight="1" x14ac:dyDescent="0.25">
      <c r="B601" s="9">
        <v>48</v>
      </c>
      <c r="C601" s="3" t="s">
        <v>317</v>
      </c>
      <c r="D601" s="3" t="s">
        <v>16</v>
      </c>
      <c r="E601" s="8">
        <v>46098</v>
      </c>
      <c r="F601" s="3">
        <v>65</v>
      </c>
      <c r="G601" t="s">
        <v>129</v>
      </c>
    </row>
    <row r="602" spans="2:7" ht="14.45" customHeight="1" x14ac:dyDescent="0.25">
      <c r="B602" s="9">
        <v>64</v>
      </c>
      <c r="C602" s="3" t="s">
        <v>310</v>
      </c>
      <c r="D602" s="3" t="s">
        <v>6</v>
      </c>
      <c r="E602" s="8">
        <v>46101</v>
      </c>
      <c r="F602" s="3">
        <v>66</v>
      </c>
      <c r="G602" t="s">
        <v>129</v>
      </c>
    </row>
    <row r="603" spans="2:7" ht="14.45" customHeight="1" x14ac:dyDescent="0.25">
      <c r="B603" s="9">
        <v>81</v>
      </c>
      <c r="C603" s="3" t="s">
        <v>271</v>
      </c>
      <c r="D603" s="3" t="s">
        <v>6</v>
      </c>
      <c r="E603" s="8">
        <v>46101</v>
      </c>
      <c r="F603" s="3">
        <v>23</v>
      </c>
      <c r="G603" t="s">
        <v>129</v>
      </c>
    </row>
    <row r="604" spans="2:7" ht="14.45" customHeight="1" x14ac:dyDescent="0.25">
      <c r="B604" s="9">
        <v>82</v>
      </c>
      <c r="C604" s="3" t="s">
        <v>331</v>
      </c>
      <c r="D604" s="3" t="s">
        <v>6</v>
      </c>
      <c r="E604" s="8">
        <v>46102</v>
      </c>
      <c r="F604" s="3">
        <v>65</v>
      </c>
      <c r="G604" t="s">
        <v>129</v>
      </c>
    </row>
    <row r="605" spans="2:7" ht="14.45" customHeight="1" x14ac:dyDescent="0.25">
      <c r="B605" s="9">
        <v>84</v>
      </c>
      <c r="C605" s="3" t="s">
        <v>316</v>
      </c>
      <c r="D605" s="3" t="s">
        <v>16</v>
      </c>
      <c r="E605" s="8">
        <v>46098</v>
      </c>
      <c r="F605" s="3">
        <v>65</v>
      </c>
      <c r="G605" t="s">
        <v>129</v>
      </c>
    </row>
    <row r="606" spans="2:7" ht="14.45" customHeight="1" x14ac:dyDescent="0.25">
      <c r="B606" s="9">
        <v>86</v>
      </c>
      <c r="C606" s="3" t="s">
        <v>313</v>
      </c>
      <c r="D606" s="3" t="s">
        <v>16</v>
      </c>
      <c r="E606" s="8">
        <v>46097</v>
      </c>
      <c r="F606" s="3">
        <v>65</v>
      </c>
      <c r="G606" t="s">
        <v>129</v>
      </c>
    </row>
    <row r="607" spans="2:7" ht="14.45" customHeight="1" x14ac:dyDescent="0.25">
      <c r="B607" s="9">
        <v>87</v>
      </c>
      <c r="C607" s="3" t="s">
        <v>314</v>
      </c>
      <c r="D607" s="3" t="s">
        <v>16</v>
      </c>
      <c r="E607" s="8">
        <v>46097</v>
      </c>
      <c r="F607" s="3">
        <v>65</v>
      </c>
      <c r="G607" t="s">
        <v>129</v>
      </c>
    </row>
    <row r="608" spans="2:7" ht="14.45" customHeight="1" x14ac:dyDescent="0.25">
      <c r="B608" s="9">
        <v>88</v>
      </c>
      <c r="C608" s="3" t="s">
        <v>315</v>
      </c>
      <c r="D608" s="3" t="s">
        <v>16</v>
      </c>
      <c r="E608" s="8">
        <v>46097</v>
      </c>
      <c r="F608" s="3">
        <v>65</v>
      </c>
      <c r="G608" t="s">
        <v>129</v>
      </c>
    </row>
    <row r="609" spans="1:7" ht="14.45" customHeight="1" x14ac:dyDescent="0.25">
      <c r="B609" s="9">
        <v>67</v>
      </c>
      <c r="C609" s="3" t="s">
        <v>240</v>
      </c>
      <c r="D609" s="3" t="s">
        <v>6</v>
      </c>
      <c r="E609" s="8">
        <v>46102</v>
      </c>
      <c r="F609" s="3">
        <v>65</v>
      </c>
      <c r="G609" t="s">
        <v>14</v>
      </c>
    </row>
    <row r="610" spans="1:7" ht="14.45" customHeight="1" x14ac:dyDescent="0.25">
      <c r="B610" s="9">
        <v>95</v>
      </c>
      <c r="C610" s="3" t="s">
        <v>215</v>
      </c>
      <c r="D610" s="3" t="s">
        <v>16</v>
      </c>
      <c r="E610" s="8">
        <v>46099</v>
      </c>
      <c r="F610" s="3">
        <v>67</v>
      </c>
      <c r="G610" t="s">
        <v>14</v>
      </c>
    </row>
    <row r="613" spans="1:7" ht="14.45" customHeight="1" x14ac:dyDescent="0.25">
      <c r="A613" s="78"/>
      <c r="B613" s="78"/>
      <c r="C613" s="78"/>
      <c r="D613" s="78"/>
      <c r="E613" s="78"/>
      <c r="F613" s="78"/>
      <c r="G613" s="78"/>
    </row>
    <row r="615" spans="1:7" ht="14.45" customHeight="1" x14ac:dyDescent="0.25">
      <c r="A615" s="156" t="s">
        <v>420</v>
      </c>
      <c r="B615" s="156"/>
      <c r="C615" s="156"/>
      <c r="D615" s="156"/>
      <c r="E615" s="156"/>
      <c r="F615" s="156"/>
      <c r="G615" s="156"/>
    </row>
    <row r="617" spans="1:7" ht="14.45" customHeight="1" x14ac:dyDescent="0.25">
      <c r="B617" s="157" t="s">
        <v>421</v>
      </c>
      <c r="C617" s="157"/>
      <c r="D617" s="157"/>
      <c r="E617" s="157"/>
      <c r="F617" s="157"/>
    </row>
    <row r="618" spans="1:7" ht="14.45" customHeight="1" x14ac:dyDescent="0.25">
      <c r="B618" s="10" t="s">
        <v>0</v>
      </c>
      <c r="C618" s="69" t="s">
        <v>1</v>
      </c>
      <c r="D618" s="10" t="s">
        <v>128</v>
      </c>
      <c r="E618" s="10" t="s">
        <v>120</v>
      </c>
      <c r="F618" s="17" t="s">
        <v>2</v>
      </c>
    </row>
    <row r="619" spans="1:7" ht="14.45" customHeight="1" x14ac:dyDescent="0.25">
      <c r="B619" s="9">
        <v>60</v>
      </c>
      <c r="C619" s="3" t="s">
        <v>241</v>
      </c>
      <c r="D619" s="3" t="s">
        <v>6</v>
      </c>
      <c r="E619" s="8">
        <v>46108.888888888891</v>
      </c>
      <c r="F619" s="3">
        <v>65</v>
      </c>
    </row>
    <row r="620" spans="1:7" ht="14.45" customHeight="1" x14ac:dyDescent="0.25">
      <c r="A620" s="5" t="s">
        <v>429</v>
      </c>
      <c r="B620" s="9">
        <v>67</v>
      </c>
      <c r="C620" s="3" t="s">
        <v>240</v>
      </c>
      <c r="D620" s="3" t="s">
        <v>6</v>
      </c>
      <c r="E620" s="8">
        <v>46108.666666666664</v>
      </c>
      <c r="F620" s="3">
        <v>65</v>
      </c>
    </row>
    <row r="621" spans="1:7" ht="14.45" customHeight="1" x14ac:dyDescent="0.25">
      <c r="A621" s="5" t="s">
        <v>429</v>
      </c>
      <c r="B621" s="9">
        <v>90</v>
      </c>
      <c r="C621" s="3" t="s">
        <v>216</v>
      </c>
      <c r="D621" s="3" t="s">
        <v>16</v>
      </c>
      <c r="E621" s="8">
        <v>46110</v>
      </c>
      <c r="F621" s="3">
        <v>50</v>
      </c>
    </row>
    <row r="622" spans="1:7" ht="14.45" customHeight="1" x14ac:dyDescent="0.25">
      <c r="B622" s="9">
        <v>107</v>
      </c>
      <c r="C622" s="158" t="s">
        <v>334</v>
      </c>
      <c r="D622" s="3" t="s">
        <v>12</v>
      </c>
      <c r="E622" s="8">
        <v>46104</v>
      </c>
      <c r="F622" s="151">
        <v>35</v>
      </c>
    </row>
    <row r="623" spans="1:7" ht="14.45" customHeight="1" x14ac:dyDescent="0.25">
      <c r="B623" s="9">
        <v>108</v>
      </c>
      <c r="C623" s="159"/>
      <c r="D623" s="3" t="s">
        <v>12</v>
      </c>
      <c r="E623" s="8">
        <v>46104</v>
      </c>
      <c r="F623" s="153"/>
    </row>
    <row r="624" spans="1:7" ht="14.45" customHeight="1" x14ac:dyDescent="0.25">
      <c r="A624" s="5" t="s">
        <v>429</v>
      </c>
      <c r="B624" s="9">
        <v>110</v>
      </c>
      <c r="C624" s="3" t="s">
        <v>345</v>
      </c>
      <c r="D624" s="3" t="s">
        <v>12</v>
      </c>
      <c r="E624" s="8">
        <v>46104</v>
      </c>
      <c r="F624" s="3">
        <v>19</v>
      </c>
    </row>
    <row r="626" spans="2:7" ht="14.45" customHeight="1" x14ac:dyDescent="0.25">
      <c r="B626" s="157" t="s">
        <v>422</v>
      </c>
      <c r="C626" s="157"/>
      <c r="D626" s="157"/>
      <c r="E626" s="157"/>
      <c r="F626" s="157"/>
    </row>
    <row r="627" spans="2:7" ht="14.45" customHeight="1" x14ac:dyDescent="0.25">
      <c r="B627" s="10" t="s">
        <v>0</v>
      </c>
      <c r="C627" s="69" t="s">
        <v>1</v>
      </c>
      <c r="D627" s="10" t="s">
        <v>128</v>
      </c>
      <c r="E627" s="10" t="s">
        <v>120</v>
      </c>
      <c r="F627" s="17" t="s">
        <v>2</v>
      </c>
    </row>
    <row r="628" spans="2:7" ht="14.45" customHeight="1" x14ac:dyDescent="0.25">
      <c r="B628" s="9">
        <v>65</v>
      </c>
      <c r="C628" s="3" t="s">
        <v>344</v>
      </c>
      <c r="D628" s="3" t="s">
        <v>6</v>
      </c>
      <c r="E628" s="8">
        <v>46110</v>
      </c>
      <c r="F628" s="3">
        <v>59</v>
      </c>
    </row>
    <row r="630" spans="2:7" ht="14.45" customHeight="1" x14ac:dyDescent="0.25">
      <c r="B630" s="157" t="s">
        <v>423</v>
      </c>
      <c r="C630" s="157"/>
      <c r="D630" s="157"/>
      <c r="E630" s="157"/>
      <c r="F630" s="157"/>
    </row>
    <row r="631" spans="2:7" ht="14.45" customHeight="1" x14ac:dyDescent="0.25">
      <c r="B631" s="10" t="s">
        <v>0</v>
      </c>
      <c r="C631" s="69" t="s">
        <v>1</v>
      </c>
      <c r="D631" s="10" t="s">
        <v>128</v>
      </c>
      <c r="E631" s="10" t="s">
        <v>120</v>
      </c>
      <c r="F631" s="17" t="s">
        <v>2</v>
      </c>
    </row>
    <row r="632" spans="2:7" ht="14.45" customHeight="1" x14ac:dyDescent="0.25">
      <c r="B632" s="9">
        <v>42</v>
      </c>
      <c r="C632" s="3" t="s">
        <v>287</v>
      </c>
      <c r="D632" s="3" t="s">
        <v>16</v>
      </c>
      <c r="E632" s="8">
        <v>46104</v>
      </c>
      <c r="F632" s="3">
        <v>63</v>
      </c>
      <c r="G632" t="s">
        <v>129</v>
      </c>
    </row>
    <row r="633" spans="2:7" ht="14.45" customHeight="1" x14ac:dyDescent="0.25">
      <c r="B633" s="9">
        <v>44</v>
      </c>
      <c r="C633" s="3" t="s">
        <v>291</v>
      </c>
      <c r="D633" s="3" t="s">
        <v>16</v>
      </c>
      <c r="E633" s="8">
        <v>46104</v>
      </c>
      <c r="F633" s="3">
        <v>65</v>
      </c>
      <c r="G633" t="s">
        <v>129</v>
      </c>
    </row>
    <row r="634" spans="2:7" ht="14.45" customHeight="1" x14ac:dyDescent="0.25">
      <c r="B634" s="9">
        <v>54</v>
      </c>
      <c r="C634" s="3" t="s">
        <v>277</v>
      </c>
      <c r="D634" s="3" t="s">
        <v>16</v>
      </c>
      <c r="E634" s="8">
        <v>46110</v>
      </c>
      <c r="F634" s="3">
        <v>65</v>
      </c>
      <c r="G634" t="s">
        <v>129</v>
      </c>
    </row>
    <row r="635" spans="2:7" ht="14.45" customHeight="1" x14ac:dyDescent="0.25">
      <c r="B635" s="9">
        <v>56</v>
      </c>
      <c r="C635" s="3" t="s">
        <v>333</v>
      </c>
      <c r="D635" s="3" t="s">
        <v>6</v>
      </c>
      <c r="E635" s="8">
        <v>46105</v>
      </c>
      <c r="F635" s="3">
        <v>65</v>
      </c>
      <c r="G635" t="s">
        <v>129</v>
      </c>
    </row>
    <row r="636" spans="2:7" ht="14.45" customHeight="1" x14ac:dyDescent="0.25">
      <c r="B636" s="9">
        <v>60</v>
      </c>
      <c r="C636" s="3" t="s">
        <v>241</v>
      </c>
      <c r="D636" s="3" t="s">
        <v>6</v>
      </c>
      <c r="E636" s="8">
        <v>46105</v>
      </c>
      <c r="F636" s="3">
        <v>65</v>
      </c>
      <c r="G636" t="s">
        <v>14</v>
      </c>
    </row>
    <row r="637" spans="2:7" ht="14.45" customHeight="1" x14ac:dyDescent="0.25">
      <c r="B637" s="9">
        <v>69</v>
      </c>
      <c r="C637" s="3" t="s">
        <v>234</v>
      </c>
      <c r="D637" s="3" t="s">
        <v>6</v>
      </c>
      <c r="E637" s="8">
        <v>46106</v>
      </c>
      <c r="F637" s="3">
        <v>65</v>
      </c>
      <c r="G637" t="s">
        <v>14</v>
      </c>
    </row>
    <row r="638" spans="2:7" ht="14.45" customHeight="1" x14ac:dyDescent="0.25">
      <c r="B638" s="9">
        <v>74</v>
      </c>
      <c r="C638" s="3" t="s">
        <v>246</v>
      </c>
      <c r="D638" s="3" t="s">
        <v>6</v>
      </c>
      <c r="E638" s="8">
        <v>46108</v>
      </c>
      <c r="F638" s="3">
        <v>65</v>
      </c>
      <c r="G638" t="s">
        <v>14</v>
      </c>
    </row>
    <row r="641" spans="1:7" ht="14.45" customHeight="1" x14ac:dyDescent="0.25">
      <c r="A641" s="78"/>
      <c r="B641" s="78"/>
      <c r="C641" s="78"/>
      <c r="D641" s="78"/>
      <c r="E641" s="78"/>
      <c r="F641" s="78"/>
      <c r="G641" s="78"/>
    </row>
    <row r="643" spans="1:7" ht="14.45" customHeight="1" x14ac:dyDescent="0.25">
      <c r="A643" s="156" t="s">
        <v>425</v>
      </c>
      <c r="B643" s="156"/>
      <c r="C643" s="156"/>
      <c r="D643" s="156"/>
      <c r="E643" s="156"/>
      <c r="F643" s="156"/>
      <c r="G643" s="156"/>
    </row>
    <row r="645" spans="1:7" ht="14.45" customHeight="1" x14ac:dyDescent="0.25">
      <c r="B645" s="157" t="s">
        <v>426</v>
      </c>
      <c r="C645" s="157"/>
      <c r="D645" s="157"/>
      <c r="E645" s="157"/>
      <c r="F645" s="157"/>
    </row>
    <row r="646" spans="1:7" ht="14.45" customHeight="1" x14ac:dyDescent="0.25">
      <c r="B646" s="10" t="s">
        <v>0</v>
      </c>
      <c r="C646" s="69" t="s">
        <v>1</v>
      </c>
      <c r="D646" s="10" t="s">
        <v>128</v>
      </c>
      <c r="E646" s="10" t="s">
        <v>120</v>
      </c>
      <c r="F646" s="17" t="s">
        <v>2</v>
      </c>
    </row>
    <row r="647" spans="1:7" ht="14.45" customHeight="1" x14ac:dyDescent="0.25">
      <c r="A647" s="49" t="s">
        <v>408</v>
      </c>
      <c r="B647" s="48">
        <v>60</v>
      </c>
      <c r="C647" s="3" t="s">
        <v>241</v>
      </c>
      <c r="D647" s="3" t="s">
        <v>6</v>
      </c>
      <c r="E647" s="8">
        <v>46108.888888888891</v>
      </c>
      <c r="F647" s="3">
        <v>65</v>
      </c>
    </row>
    <row r="648" spans="1:7" ht="14.45" customHeight="1" x14ac:dyDescent="0.25">
      <c r="A648" s="160" t="s">
        <v>408</v>
      </c>
      <c r="B648" s="48">
        <v>107</v>
      </c>
      <c r="C648" s="158" t="s">
        <v>334</v>
      </c>
      <c r="D648" s="3" t="s">
        <v>12</v>
      </c>
      <c r="E648" s="8">
        <v>46104</v>
      </c>
      <c r="F648" s="151">
        <v>35</v>
      </c>
    </row>
    <row r="649" spans="1:7" ht="14.45" customHeight="1" x14ac:dyDescent="0.25">
      <c r="A649" s="160"/>
      <c r="B649" s="48">
        <v>108</v>
      </c>
      <c r="C649" s="159"/>
      <c r="D649" s="3" t="s">
        <v>12</v>
      </c>
      <c r="E649" s="8">
        <v>46104</v>
      </c>
      <c r="F649" s="153"/>
    </row>
    <row r="650" spans="1:7" ht="14.45" customHeight="1" x14ac:dyDescent="0.25">
      <c r="B650" s="9">
        <v>69</v>
      </c>
      <c r="C650" s="3" t="s">
        <v>234</v>
      </c>
      <c r="D650" s="3" t="s">
        <v>6</v>
      </c>
      <c r="E650" s="8">
        <v>46114.888888888891</v>
      </c>
      <c r="F650" s="3">
        <v>65</v>
      </c>
    </row>
    <row r="651" spans="1:7" ht="14.45" customHeight="1" x14ac:dyDescent="0.25">
      <c r="B651" s="48">
        <v>74</v>
      </c>
      <c r="C651" s="3" t="s">
        <v>246</v>
      </c>
      <c r="D651" s="3" t="s">
        <v>6</v>
      </c>
      <c r="E651" s="8">
        <v>46112.444444444445</v>
      </c>
      <c r="F651" s="3">
        <v>65</v>
      </c>
    </row>
    <row r="653" spans="1:7" ht="14.45" customHeight="1" x14ac:dyDescent="0.25">
      <c r="B653" s="157" t="s">
        <v>427</v>
      </c>
      <c r="C653" s="157"/>
      <c r="D653" s="157"/>
      <c r="E653" s="157"/>
      <c r="F653" s="157"/>
    </row>
    <row r="654" spans="1:7" ht="14.45" customHeight="1" x14ac:dyDescent="0.25">
      <c r="B654" s="10" t="s">
        <v>0</v>
      </c>
      <c r="C654" s="69" t="s">
        <v>1</v>
      </c>
      <c r="D654" s="10" t="s">
        <v>128</v>
      </c>
      <c r="E654" s="10" t="s">
        <v>120</v>
      </c>
      <c r="F654" s="17" t="s">
        <v>2</v>
      </c>
    </row>
    <row r="655" spans="1:7" ht="14.45" customHeight="1" x14ac:dyDescent="0.25">
      <c r="B655" s="9">
        <v>30</v>
      </c>
      <c r="C655" s="3" t="s">
        <v>377</v>
      </c>
      <c r="D655" s="3" t="s">
        <v>6</v>
      </c>
      <c r="E655" s="8">
        <v>46114.666666666664</v>
      </c>
      <c r="F655" s="3">
        <v>65</v>
      </c>
    </row>
    <row r="656" spans="1:7" ht="14.45" customHeight="1" x14ac:dyDescent="0.25">
      <c r="B656" s="9">
        <v>72</v>
      </c>
      <c r="C656" s="3" t="s">
        <v>362</v>
      </c>
      <c r="D656" s="3" t="s">
        <v>6</v>
      </c>
      <c r="E656" s="8">
        <v>46115.225806451614</v>
      </c>
      <c r="F656" s="3">
        <v>57</v>
      </c>
    </row>
    <row r="657" spans="1:7" ht="14.45" customHeight="1" x14ac:dyDescent="0.25">
      <c r="B657" s="9">
        <v>80</v>
      </c>
      <c r="C657" s="3" t="s">
        <v>353</v>
      </c>
      <c r="D657" s="3" t="s">
        <v>6</v>
      </c>
      <c r="E657" s="8">
        <v>46115.333333333336</v>
      </c>
      <c r="F657" s="3">
        <v>65</v>
      </c>
    </row>
    <row r="659" spans="1:7" ht="14.45" customHeight="1" x14ac:dyDescent="0.25">
      <c r="B659" s="157" t="s">
        <v>428</v>
      </c>
      <c r="C659" s="157"/>
      <c r="D659" s="157"/>
      <c r="E659" s="157"/>
      <c r="F659" s="157"/>
    </row>
    <row r="660" spans="1:7" ht="14.45" customHeight="1" x14ac:dyDescent="0.25">
      <c r="B660" s="10" t="s">
        <v>0</v>
      </c>
      <c r="C660" s="69" t="s">
        <v>1</v>
      </c>
      <c r="D660" s="10" t="s">
        <v>128</v>
      </c>
      <c r="E660" s="10" t="s">
        <v>120</v>
      </c>
      <c r="F660" s="17" t="s">
        <v>2</v>
      </c>
    </row>
    <row r="661" spans="1:7" ht="14.45" customHeight="1" x14ac:dyDescent="0.25">
      <c r="B661" s="9">
        <v>65</v>
      </c>
      <c r="C661" s="3" t="s">
        <v>344</v>
      </c>
      <c r="D661" s="3" t="s">
        <v>6</v>
      </c>
      <c r="E661" s="76">
        <v>46116</v>
      </c>
      <c r="F661" s="3">
        <v>59</v>
      </c>
      <c r="G661" t="s">
        <v>129</v>
      </c>
    </row>
    <row r="662" spans="1:7" ht="14.45" customHeight="1" x14ac:dyDescent="0.25">
      <c r="B662" s="9">
        <v>78</v>
      </c>
      <c r="C662" s="3" t="s">
        <v>242</v>
      </c>
      <c r="D662" s="3" t="s">
        <v>6</v>
      </c>
      <c r="E662" s="8">
        <v>46112</v>
      </c>
      <c r="F662" s="3">
        <v>52</v>
      </c>
      <c r="G662" t="s">
        <v>14</v>
      </c>
    </row>
    <row r="663" spans="1:7" ht="14.45" customHeight="1" x14ac:dyDescent="0.25">
      <c r="B663" s="9">
        <v>96</v>
      </c>
      <c r="C663" s="3" t="s">
        <v>239</v>
      </c>
      <c r="D663" s="3" t="s">
        <v>16</v>
      </c>
      <c r="E663" s="8">
        <v>46116</v>
      </c>
      <c r="F663" s="3">
        <v>65</v>
      </c>
      <c r="G663" t="s">
        <v>14</v>
      </c>
    </row>
    <row r="665" spans="1:7" ht="14.45" customHeight="1" x14ac:dyDescent="0.25">
      <c r="A665" s="78"/>
      <c r="B665" s="78"/>
      <c r="C665" s="78"/>
      <c r="D665" s="78"/>
      <c r="E665" s="78"/>
      <c r="F665" s="78"/>
      <c r="G665" s="78"/>
    </row>
    <row r="667" spans="1:7" ht="14.45" customHeight="1" x14ac:dyDescent="0.25">
      <c r="A667" s="156" t="s">
        <v>430</v>
      </c>
      <c r="B667" s="156"/>
      <c r="C667" s="156"/>
      <c r="D667" s="156"/>
      <c r="E667" s="156"/>
      <c r="F667" s="156"/>
      <c r="G667" s="156"/>
    </row>
    <row r="669" spans="1:7" ht="14.45" customHeight="1" x14ac:dyDescent="0.25">
      <c r="B669" s="157" t="s">
        <v>431</v>
      </c>
      <c r="C669" s="157"/>
      <c r="D669" s="157"/>
      <c r="E669" s="157"/>
      <c r="F669" s="157"/>
    </row>
    <row r="670" spans="1:7" ht="14.45" customHeight="1" x14ac:dyDescent="0.25">
      <c r="B670" s="10" t="s">
        <v>0</v>
      </c>
      <c r="C670" s="69" t="s">
        <v>1</v>
      </c>
      <c r="D670" s="10" t="s">
        <v>128</v>
      </c>
      <c r="E670" s="10" t="s">
        <v>120</v>
      </c>
      <c r="F670" s="17" t="s">
        <v>2</v>
      </c>
    </row>
    <row r="671" spans="1:7" ht="14.45" customHeight="1" x14ac:dyDescent="0.25">
      <c r="A671" s="49" t="s">
        <v>408</v>
      </c>
      <c r="B671" s="9">
        <v>69</v>
      </c>
      <c r="C671" s="3" t="s">
        <v>234</v>
      </c>
      <c r="D671" s="3" t="s">
        <v>6</v>
      </c>
      <c r="E671" s="8">
        <v>46114.888888888891</v>
      </c>
      <c r="F671" s="3">
        <v>65</v>
      </c>
    </row>
    <row r="672" spans="1:7" ht="14.45" customHeight="1" x14ac:dyDescent="0.25">
      <c r="B672" s="9">
        <v>71</v>
      </c>
      <c r="C672" s="3" t="s">
        <v>384</v>
      </c>
      <c r="D672" s="3" t="s">
        <v>6</v>
      </c>
      <c r="E672" s="8">
        <v>46119</v>
      </c>
      <c r="F672" s="3">
        <v>30</v>
      </c>
    </row>
    <row r="674" spans="1:7" ht="14.45" customHeight="1" x14ac:dyDescent="0.25">
      <c r="B674" s="157" t="s">
        <v>434</v>
      </c>
      <c r="C674" s="157"/>
      <c r="D674" s="157"/>
      <c r="E674" s="157"/>
      <c r="F674" s="157"/>
    </row>
    <row r="675" spans="1:7" ht="14.45" customHeight="1" x14ac:dyDescent="0.25">
      <c r="B675" s="10" t="s">
        <v>0</v>
      </c>
      <c r="C675" s="69" t="s">
        <v>1</v>
      </c>
      <c r="D675" s="10" t="s">
        <v>128</v>
      </c>
      <c r="E675" s="10" t="s">
        <v>120</v>
      </c>
      <c r="F675" s="17" t="s">
        <v>2</v>
      </c>
    </row>
    <row r="676" spans="1:7" ht="14.45" customHeight="1" x14ac:dyDescent="0.25">
      <c r="B676" s="9" t="s">
        <v>223</v>
      </c>
      <c r="C676" s="3" t="s">
        <v>223</v>
      </c>
      <c r="D676" s="3" t="s">
        <v>223</v>
      </c>
      <c r="E676" s="8" t="s">
        <v>223</v>
      </c>
      <c r="F676" s="3" t="s">
        <v>223</v>
      </c>
    </row>
    <row r="678" spans="1:7" ht="14.45" customHeight="1" x14ac:dyDescent="0.25">
      <c r="B678" s="157" t="s">
        <v>435</v>
      </c>
      <c r="C678" s="157"/>
      <c r="D678" s="157"/>
      <c r="E678" s="157"/>
      <c r="F678" s="157"/>
    </row>
    <row r="679" spans="1:7" ht="14.45" customHeight="1" x14ac:dyDescent="0.25">
      <c r="B679" s="10" t="s">
        <v>0</v>
      </c>
      <c r="C679" s="69" t="s">
        <v>1</v>
      </c>
      <c r="D679" s="10" t="s">
        <v>128</v>
      </c>
      <c r="E679" s="10" t="s">
        <v>120</v>
      </c>
      <c r="F679" s="17" t="s">
        <v>2</v>
      </c>
    </row>
    <row r="680" spans="1:7" ht="14.45" customHeight="1" x14ac:dyDescent="0.25">
      <c r="B680" s="9">
        <v>52</v>
      </c>
      <c r="C680" s="3" t="s">
        <v>336</v>
      </c>
      <c r="D680" s="3" t="s">
        <v>16</v>
      </c>
      <c r="E680" s="76">
        <v>46119</v>
      </c>
      <c r="F680" s="3">
        <v>63</v>
      </c>
    </row>
    <row r="681" spans="1:7" ht="14.45" customHeight="1" x14ac:dyDescent="0.25">
      <c r="B681" s="9">
        <v>80</v>
      </c>
      <c r="C681" s="3" t="s">
        <v>353</v>
      </c>
      <c r="D681" s="3" t="s">
        <v>6</v>
      </c>
      <c r="E681" s="76">
        <v>46118</v>
      </c>
      <c r="F681" s="3">
        <v>65</v>
      </c>
    </row>
    <row r="683" spans="1:7" ht="14.45" customHeight="1" x14ac:dyDescent="0.25">
      <c r="A683" s="78"/>
      <c r="B683" s="78"/>
      <c r="C683" s="78"/>
      <c r="D683" s="78"/>
      <c r="E683" s="78"/>
      <c r="F683" s="78"/>
      <c r="G683" s="78"/>
    </row>
    <row r="685" spans="1:7" ht="14.45" customHeight="1" x14ac:dyDescent="0.25">
      <c r="A685" s="156" t="s">
        <v>439</v>
      </c>
      <c r="B685" s="156"/>
      <c r="C685" s="156"/>
      <c r="D685" s="156"/>
      <c r="E685" s="156"/>
      <c r="F685" s="156"/>
      <c r="G685" s="156"/>
    </row>
    <row r="687" spans="1:7" ht="14.45" customHeight="1" x14ac:dyDescent="0.25">
      <c r="B687" s="157" t="s">
        <v>440</v>
      </c>
      <c r="C687" s="157"/>
      <c r="D687" s="157"/>
      <c r="E687" s="157"/>
      <c r="F687" s="157"/>
    </row>
    <row r="688" spans="1:7" ht="14.45" customHeight="1" x14ac:dyDescent="0.25">
      <c r="B688" s="10" t="s">
        <v>0</v>
      </c>
      <c r="C688" s="69" t="s">
        <v>1</v>
      </c>
      <c r="D688" s="10" t="s">
        <v>128</v>
      </c>
      <c r="E688" s="10" t="s">
        <v>120</v>
      </c>
      <c r="F688" s="17" t="s">
        <v>2</v>
      </c>
    </row>
    <row r="689" spans="1:7" ht="14.45" customHeight="1" x14ac:dyDescent="0.25">
      <c r="B689" s="9">
        <v>76</v>
      </c>
      <c r="C689" s="3" t="s">
        <v>151</v>
      </c>
      <c r="D689" s="3" t="s">
        <v>6</v>
      </c>
      <c r="E689" s="8">
        <v>46128.827586206899</v>
      </c>
      <c r="F689" s="3">
        <v>58</v>
      </c>
    </row>
    <row r="690" spans="1:7" ht="14.45" customHeight="1" x14ac:dyDescent="0.25">
      <c r="B690" s="9">
        <v>99</v>
      </c>
      <c r="C690" s="3" t="s">
        <v>192</v>
      </c>
      <c r="D690" s="3" t="s">
        <v>16</v>
      </c>
      <c r="E690" s="8">
        <v>46125.407407407409</v>
      </c>
      <c r="F690" s="3">
        <v>67</v>
      </c>
    </row>
    <row r="691" spans="1:7" ht="14.45" customHeight="1" x14ac:dyDescent="0.25">
      <c r="B691" s="9">
        <v>100</v>
      </c>
      <c r="C691" s="3" t="s">
        <v>376</v>
      </c>
      <c r="D691" s="3" t="s">
        <v>12</v>
      </c>
      <c r="E691" s="8">
        <v>46131</v>
      </c>
      <c r="F691" s="3">
        <v>40</v>
      </c>
    </row>
    <row r="692" spans="1:7" ht="14.45" customHeight="1" x14ac:dyDescent="0.25">
      <c r="B692" s="9">
        <v>112</v>
      </c>
      <c r="C692" s="14" t="s">
        <v>370</v>
      </c>
      <c r="D692" s="3" t="s">
        <v>12</v>
      </c>
      <c r="E692" s="8">
        <v>46131</v>
      </c>
      <c r="F692" s="3">
        <v>39</v>
      </c>
    </row>
    <row r="693" spans="1:7" ht="14.45" customHeight="1" x14ac:dyDescent="0.25">
      <c r="B693" s="9">
        <v>113</v>
      </c>
      <c r="C693" s="3" t="s">
        <v>369</v>
      </c>
      <c r="D693" s="3" t="s">
        <v>12</v>
      </c>
      <c r="E693" s="8">
        <v>46131</v>
      </c>
      <c r="F693" s="3">
        <v>42</v>
      </c>
    </row>
    <row r="695" spans="1:7" ht="14.45" customHeight="1" x14ac:dyDescent="0.25">
      <c r="B695" s="157" t="s">
        <v>441</v>
      </c>
      <c r="C695" s="157"/>
      <c r="D695" s="157"/>
      <c r="E695" s="157"/>
      <c r="F695" s="157"/>
    </row>
    <row r="696" spans="1:7" ht="14.45" customHeight="1" x14ac:dyDescent="0.25">
      <c r="B696" s="10" t="s">
        <v>0</v>
      </c>
      <c r="C696" s="69" t="s">
        <v>1</v>
      </c>
      <c r="D696" s="10" t="s">
        <v>128</v>
      </c>
      <c r="E696" s="10" t="s">
        <v>120</v>
      </c>
      <c r="F696" s="17" t="s">
        <v>2</v>
      </c>
    </row>
    <row r="697" spans="1:7" ht="14.45" customHeight="1" x14ac:dyDescent="0.25">
      <c r="B697" s="9">
        <v>54</v>
      </c>
      <c r="C697" s="3" t="s">
        <v>277</v>
      </c>
      <c r="D697" s="3" t="s">
        <v>16</v>
      </c>
      <c r="E697" s="8">
        <v>46128.827586206899</v>
      </c>
      <c r="F697" s="3">
        <v>65</v>
      </c>
    </row>
    <row r="699" spans="1:7" ht="14.45" customHeight="1" x14ac:dyDescent="0.25">
      <c r="B699" s="157" t="s">
        <v>442</v>
      </c>
      <c r="C699" s="157"/>
      <c r="D699" s="157"/>
      <c r="E699" s="157"/>
      <c r="F699" s="157"/>
    </row>
    <row r="700" spans="1:7" ht="14.45" customHeight="1" x14ac:dyDescent="0.25">
      <c r="B700" s="10" t="s">
        <v>0</v>
      </c>
      <c r="C700" s="69" t="s">
        <v>1</v>
      </c>
      <c r="D700" s="10" t="s">
        <v>128</v>
      </c>
      <c r="E700" s="10" t="s">
        <v>120</v>
      </c>
      <c r="F700" s="17" t="s">
        <v>2</v>
      </c>
    </row>
    <row r="701" spans="1:7" ht="14.45" customHeight="1" x14ac:dyDescent="0.25">
      <c r="B701" s="9">
        <v>66</v>
      </c>
      <c r="C701" s="3" t="s">
        <v>273</v>
      </c>
      <c r="D701" s="3" t="s">
        <v>6</v>
      </c>
      <c r="E701" s="76">
        <v>46126</v>
      </c>
      <c r="F701" s="3">
        <v>65</v>
      </c>
    </row>
    <row r="703" spans="1:7" ht="14.45" customHeight="1" x14ac:dyDescent="0.25">
      <c r="A703" s="78"/>
      <c r="B703" s="78"/>
      <c r="C703" s="78"/>
      <c r="D703" s="78"/>
      <c r="E703" s="78"/>
      <c r="F703" s="78"/>
      <c r="G703" s="78"/>
    </row>
    <row r="705" spans="1:7" ht="14.45" customHeight="1" x14ac:dyDescent="0.25">
      <c r="A705" s="156" t="s">
        <v>456</v>
      </c>
      <c r="B705" s="156"/>
      <c r="C705" s="156"/>
      <c r="D705" s="156"/>
      <c r="E705" s="156"/>
      <c r="F705" s="156"/>
      <c r="G705" s="156"/>
    </row>
    <row r="707" spans="1:7" ht="14.45" customHeight="1" x14ac:dyDescent="0.25">
      <c r="B707" s="157" t="s">
        <v>457</v>
      </c>
      <c r="C707" s="157"/>
      <c r="D707" s="157"/>
      <c r="E707" s="157"/>
      <c r="F707" s="157"/>
    </row>
    <row r="708" spans="1:7" ht="14.45" customHeight="1" x14ac:dyDescent="0.25">
      <c r="B708" s="10" t="s">
        <v>0</v>
      </c>
      <c r="C708" s="69" t="s">
        <v>1</v>
      </c>
      <c r="D708" s="10" t="s">
        <v>128</v>
      </c>
      <c r="E708" s="10" t="s">
        <v>120</v>
      </c>
      <c r="F708" s="17" t="s">
        <v>2</v>
      </c>
    </row>
    <row r="709" spans="1:7" ht="14.45" customHeight="1" x14ac:dyDescent="0.25">
      <c r="B709" s="9">
        <v>106</v>
      </c>
      <c r="C709" s="3" t="s">
        <v>382</v>
      </c>
      <c r="D709" s="3" t="s">
        <v>12</v>
      </c>
      <c r="E709" s="76">
        <v>46134</v>
      </c>
      <c r="F709" s="3">
        <v>19</v>
      </c>
    </row>
    <row r="711" spans="1:7" ht="14.45" customHeight="1" x14ac:dyDescent="0.25">
      <c r="B711" s="157" t="s">
        <v>458</v>
      </c>
      <c r="C711" s="157"/>
      <c r="D711" s="157"/>
      <c r="E711" s="157"/>
      <c r="F711" s="157"/>
    </row>
    <row r="712" spans="1:7" ht="14.45" customHeight="1" x14ac:dyDescent="0.25">
      <c r="B712" s="10" t="s">
        <v>0</v>
      </c>
      <c r="C712" s="69" t="s">
        <v>1</v>
      </c>
      <c r="D712" s="10" t="s">
        <v>128</v>
      </c>
      <c r="E712" s="10" t="s">
        <v>120</v>
      </c>
      <c r="F712" s="17" t="s">
        <v>2</v>
      </c>
    </row>
    <row r="713" spans="1:7" ht="14.45" customHeight="1" x14ac:dyDescent="0.25">
      <c r="B713" s="9">
        <v>98</v>
      </c>
      <c r="C713" s="3" t="s">
        <v>368</v>
      </c>
      <c r="D713" s="3" t="s">
        <v>16</v>
      </c>
      <c r="E713" s="76">
        <v>46137</v>
      </c>
      <c r="F713" s="3">
        <v>62</v>
      </c>
    </row>
    <row r="715" spans="1:7" ht="14.45" customHeight="1" x14ac:dyDescent="0.25">
      <c r="B715" s="157" t="s">
        <v>459</v>
      </c>
      <c r="C715" s="157"/>
      <c r="D715" s="157"/>
      <c r="E715" s="157"/>
      <c r="F715" s="157"/>
    </row>
    <row r="716" spans="1:7" ht="14.45" customHeight="1" x14ac:dyDescent="0.25">
      <c r="B716" s="10" t="s">
        <v>0</v>
      </c>
      <c r="C716" s="69" t="s">
        <v>1</v>
      </c>
      <c r="D716" s="10" t="s">
        <v>128</v>
      </c>
      <c r="E716" s="10" t="s">
        <v>120</v>
      </c>
      <c r="F716" s="17" t="s">
        <v>2</v>
      </c>
    </row>
    <row r="717" spans="1:7" ht="14.45" customHeight="1" x14ac:dyDescent="0.25">
      <c r="B717" s="9">
        <v>68</v>
      </c>
      <c r="C717" s="3" t="s">
        <v>328</v>
      </c>
      <c r="D717" s="3" t="s">
        <v>6</v>
      </c>
      <c r="E717" s="76">
        <v>46137</v>
      </c>
      <c r="F717" s="3">
        <v>64</v>
      </c>
      <c r="G717" t="s">
        <v>129</v>
      </c>
    </row>
    <row r="718" spans="1:7" ht="14.45" customHeight="1" x14ac:dyDescent="0.25">
      <c r="B718" s="9">
        <v>72</v>
      </c>
      <c r="C718" s="3" t="s">
        <v>362</v>
      </c>
      <c r="D718" s="3" t="s">
        <v>6</v>
      </c>
      <c r="E718" s="76">
        <v>46132</v>
      </c>
      <c r="F718" s="3">
        <v>57</v>
      </c>
      <c r="G718" t="s">
        <v>129</v>
      </c>
    </row>
    <row r="719" spans="1:7" ht="14.45" customHeight="1" x14ac:dyDescent="0.25">
      <c r="B719" s="9">
        <v>62</v>
      </c>
      <c r="C719" s="3" t="s">
        <v>275</v>
      </c>
      <c r="D719" s="3" t="s">
        <v>6</v>
      </c>
      <c r="E719" s="76">
        <v>46133</v>
      </c>
      <c r="F719" s="3">
        <v>63</v>
      </c>
      <c r="G719" t="s">
        <v>14</v>
      </c>
    </row>
  </sheetData>
  <mergeCells count="131">
    <mergeCell ref="A511:G511"/>
    <mergeCell ref="B513:F513"/>
    <mergeCell ref="B517:F517"/>
    <mergeCell ref="B522:F522"/>
    <mergeCell ref="B503:F503"/>
    <mergeCell ref="A554:G554"/>
    <mergeCell ref="B556:F556"/>
    <mergeCell ref="B564:F564"/>
    <mergeCell ref="B430:F430"/>
    <mergeCell ref="A440:G440"/>
    <mergeCell ref="A489:G489"/>
    <mergeCell ref="B491:F491"/>
    <mergeCell ref="B497:F497"/>
    <mergeCell ref="B442:F442"/>
    <mergeCell ref="B449:F449"/>
    <mergeCell ref="B453:F453"/>
    <mergeCell ref="A464:G464"/>
    <mergeCell ref="B466:F466"/>
    <mergeCell ref="B471:F471"/>
    <mergeCell ref="B482:F482"/>
    <mergeCell ref="A417:G417"/>
    <mergeCell ref="B419:F419"/>
    <mergeCell ref="B425:F425"/>
    <mergeCell ref="A348:G348"/>
    <mergeCell ref="B350:F350"/>
    <mergeCell ref="B356:F356"/>
    <mergeCell ref="B317:F317"/>
    <mergeCell ref="A328:G328"/>
    <mergeCell ref="B400:F400"/>
    <mergeCell ref="B407:F407"/>
    <mergeCell ref="B268:F268"/>
    <mergeCell ref="B276:F276"/>
    <mergeCell ref="B330:F330"/>
    <mergeCell ref="B336:F336"/>
    <mergeCell ref="B341:F341"/>
    <mergeCell ref="B365:F365"/>
    <mergeCell ref="A392:G392"/>
    <mergeCell ref="B394:F394"/>
    <mergeCell ref="A372:G372"/>
    <mergeCell ref="B374:F374"/>
    <mergeCell ref="B379:F379"/>
    <mergeCell ref="B385:F385"/>
    <mergeCell ref="B245:F245"/>
    <mergeCell ref="B252:F252"/>
    <mergeCell ref="B260:F260"/>
    <mergeCell ref="A216:G216"/>
    <mergeCell ref="B218:F218"/>
    <mergeCell ref="B225:F225"/>
    <mergeCell ref="B231:F231"/>
    <mergeCell ref="A243:G243"/>
    <mergeCell ref="A266:G266"/>
    <mergeCell ref="B114:F114"/>
    <mergeCell ref="B111:B112"/>
    <mergeCell ref="B55:F55"/>
    <mergeCell ref="B104:F104"/>
    <mergeCell ref="B83:F83"/>
    <mergeCell ref="B74:F74"/>
    <mergeCell ref="B64:C64"/>
    <mergeCell ref="B124:F124"/>
    <mergeCell ref="B133:B134"/>
    <mergeCell ref="A1:G1"/>
    <mergeCell ref="A32:G32"/>
    <mergeCell ref="A53:G53"/>
    <mergeCell ref="A81:G81"/>
    <mergeCell ref="A102:G102"/>
    <mergeCell ref="B17:F17"/>
    <mergeCell ref="B25:F25"/>
    <mergeCell ref="B10:F10"/>
    <mergeCell ref="B67:F67"/>
    <mergeCell ref="B3:F3"/>
    <mergeCell ref="B93:F93"/>
    <mergeCell ref="B34:F34"/>
    <mergeCell ref="B43:F43"/>
    <mergeCell ref="B137:F137"/>
    <mergeCell ref="B143:F143"/>
    <mergeCell ref="A122:G122"/>
    <mergeCell ref="B305:F305"/>
    <mergeCell ref="B313:F313"/>
    <mergeCell ref="A149:G149"/>
    <mergeCell ref="A282:G282"/>
    <mergeCell ref="B284:F284"/>
    <mergeCell ref="B291:F291"/>
    <mergeCell ref="B296:F296"/>
    <mergeCell ref="A303:G303"/>
    <mergeCell ref="B205:F205"/>
    <mergeCell ref="A193:G193"/>
    <mergeCell ref="B195:F195"/>
    <mergeCell ref="B151:F151"/>
    <mergeCell ref="B157:B158"/>
    <mergeCell ref="B161:F161"/>
    <mergeCell ref="B183:F183"/>
    <mergeCell ref="B187:F187"/>
    <mergeCell ref="B166:F166"/>
    <mergeCell ref="A173:G173"/>
    <mergeCell ref="B175:F175"/>
    <mergeCell ref="B180:B181"/>
    <mergeCell ref="B210:F210"/>
    <mergeCell ref="B570:F570"/>
    <mergeCell ref="B588:F588"/>
    <mergeCell ref="B596:F596"/>
    <mergeCell ref="A580:G580"/>
    <mergeCell ref="B582:F582"/>
    <mergeCell ref="A533:G533"/>
    <mergeCell ref="B535:F535"/>
    <mergeCell ref="B539:F539"/>
    <mergeCell ref="B547:F547"/>
    <mergeCell ref="A615:G615"/>
    <mergeCell ref="B617:F617"/>
    <mergeCell ref="C622:C623"/>
    <mergeCell ref="F622:F623"/>
    <mergeCell ref="B626:F626"/>
    <mergeCell ref="B630:F630"/>
    <mergeCell ref="C648:C649"/>
    <mergeCell ref="F648:F649"/>
    <mergeCell ref="A648:A649"/>
    <mergeCell ref="A705:G705"/>
    <mergeCell ref="B707:F707"/>
    <mergeCell ref="B711:F711"/>
    <mergeCell ref="B715:F715"/>
    <mergeCell ref="B674:F674"/>
    <mergeCell ref="B678:F678"/>
    <mergeCell ref="A667:G667"/>
    <mergeCell ref="B669:F669"/>
    <mergeCell ref="A643:G643"/>
    <mergeCell ref="B645:F645"/>
    <mergeCell ref="B653:F653"/>
    <mergeCell ref="B659:F659"/>
    <mergeCell ref="A685:G685"/>
    <mergeCell ref="B687:F687"/>
    <mergeCell ref="B695:F695"/>
    <mergeCell ref="B699:F699"/>
  </mergeCells>
  <phoneticPr fontId="2" type="noConversion"/>
  <conditionalFormatting sqref="B709">
    <cfRule type="duplicateValues" dxfId="86" priority="8"/>
  </conditionalFormatting>
  <conditionalFormatting sqref="B713">
    <cfRule type="duplicateValues" dxfId="85" priority="6"/>
  </conditionalFormatting>
  <conditionalFormatting sqref="B717:B718">
    <cfRule type="duplicateValues" dxfId="84" priority="4"/>
  </conditionalFormatting>
  <conditionalFormatting sqref="B719">
    <cfRule type="duplicateValues" dxfId="83" priority="2"/>
  </conditionalFormatting>
  <conditionalFormatting sqref="C177">
    <cfRule type="duplicateValues" dxfId="82" priority="70"/>
  </conditionalFormatting>
  <conditionalFormatting sqref="C178">
    <cfRule type="duplicateValues" dxfId="81" priority="69"/>
  </conditionalFormatting>
  <conditionalFormatting sqref="C189">
    <cfRule type="duplicateValues" dxfId="80" priority="68"/>
  </conditionalFormatting>
  <conditionalFormatting sqref="C227:C228">
    <cfRule type="duplicateValues" dxfId="79" priority="67"/>
  </conditionalFormatting>
  <conditionalFormatting sqref="C233:C239">
    <cfRule type="duplicateValues" dxfId="78" priority="66"/>
  </conditionalFormatting>
  <conditionalFormatting sqref="C247:C249">
    <cfRule type="duplicateValues" dxfId="77" priority="65"/>
  </conditionalFormatting>
  <conditionalFormatting sqref="C254:C257">
    <cfRule type="duplicateValues" dxfId="76" priority="64"/>
  </conditionalFormatting>
  <conditionalFormatting sqref="C262">
    <cfRule type="duplicateValues" dxfId="75" priority="63"/>
  </conditionalFormatting>
  <conditionalFormatting sqref="C270:C273">
    <cfRule type="duplicateValues" dxfId="74" priority="62"/>
  </conditionalFormatting>
  <conditionalFormatting sqref="C286:C288">
    <cfRule type="duplicateValues" dxfId="73" priority="61"/>
  </conditionalFormatting>
  <conditionalFormatting sqref="C298">
    <cfRule type="duplicateValues" dxfId="72" priority="60"/>
  </conditionalFormatting>
  <conditionalFormatting sqref="C307:C310">
    <cfRule type="duplicateValues" dxfId="71" priority="59"/>
  </conditionalFormatting>
  <conditionalFormatting sqref="C315">
    <cfRule type="duplicateValues" dxfId="70" priority="58"/>
  </conditionalFormatting>
  <conditionalFormatting sqref="C319:C323">
    <cfRule type="duplicateValues" dxfId="69" priority="57"/>
  </conditionalFormatting>
  <conditionalFormatting sqref="C421:C422">
    <cfRule type="duplicateValues" dxfId="68" priority="56"/>
  </conditionalFormatting>
  <conditionalFormatting sqref="C427">
    <cfRule type="duplicateValues" dxfId="67" priority="55"/>
  </conditionalFormatting>
  <conditionalFormatting sqref="C432:C434">
    <cfRule type="duplicateValues" dxfId="66" priority="54"/>
  </conditionalFormatting>
  <conditionalFormatting sqref="C435">
    <cfRule type="duplicateValues" dxfId="65" priority="53"/>
  </conditionalFormatting>
  <conditionalFormatting sqref="C444:C447">
    <cfRule type="duplicateValues" dxfId="64" priority="52"/>
  </conditionalFormatting>
  <conditionalFormatting sqref="C451">
    <cfRule type="duplicateValues" dxfId="63" priority="51"/>
  </conditionalFormatting>
  <conditionalFormatting sqref="C455:C456">
    <cfRule type="duplicateValues" dxfId="62" priority="50"/>
  </conditionalFormatting>
  <conditionalFormatting sqref="C457:C459">
    <cfRule type="duplicateValues" dxfId="61" priority="49"/>
  </conditionalFormatting>
  <conditionalFormatting sqref="C468">
    <cfRule type="duplicateValues" dxfId="60" priority="48"/>
  </conditionalFormatting>
  <conditionalFormatting sqref="C473:C479">
    <cfRule type="duplicateValues" dxfId="59" priority="47"/>
  </conditionalFormatting>
  <conditionalFormatting sqref="C484">
    <cfRule type="duplicateValues" dxfId="58" priority="46"/>
  </conditionalFormatting>
  <conditionalFormatting sqref="C493:C494">
    <cfRule type="duplicateValues" dxfId="57" priority="45"/>
  </conditionalFormatting>
  <conditionalFormatting sqref="C499:C500">
    <cfRule type="duplicateValues" dxfId="56" priority="44"/>
  </conditionalFormatting>
  <conditionalFormatting sqref="C505">
    <cfRule type="duplicateValues" dxfId="55" priority="43"/>
  </conditionalFormatting>
  <conditionalFormatting sqref="C506">
    <cfRule type="duplicateValues" dxfId="54" priority="42"/>
  </conditionalFormatting>
  <conditionalFormatting sqref="C515">
    <cfRule type="duplicateValues" dxfId="53" priority="41"/>
  </conditionalFormatting>
  <conditionalFormatting sqref="C519:C520">
    <cfRule type="duplicateValues" dxfId="52" priority="40"/>
  </conditionalFormatting>
  <conditionalFormatting sqref="C524:C526">
    <cfRule type="duplicateValues" dxfId="51" priority="39"/>
  </conditionalFormatting>
  <conditionalFormatting sqref="C527:C528">
    <cfRule type="duplicateValues" dxfId="50" priority="38"/>
  </conditionalFormatting>
  <conditionalFormatting sqref="C537">
    <cfRule type="duplicateValues" dxfId="49" priority="37"/>
  </conditionalFormatting>
  <conditionalFormatting sqref="C541:C543">
    <cfRule type="duplicateValues" dxfId="48" priority="36"/>
  </conditionalFormatting>
  <conditionalFormatting sqref="C549">
    <cfRule type="duplicateValues" dxfId="47" priority="71"/>
  </conditionalFormatting>
  <conditionalFormatting sqref="C558:C562">
    <cfRule type="duplicateValues" dxfId="46" priority="34"/>
  </conditionalFormatting>
  <conditionalFormatting sqref="C566:C568">
    <cfRule type="duplicateValues" dxfId="45" priority="33"/>
  </conditionalFormatting>
  <conditionalFormatting sqref="C572:C575">
    <cfRule type="duplicateValues" dxfId="44" priority="32"/>
  </conditionalFormatting>
  <conditionalFormatting sqref="C584">
    <cfRule type="duplicateValues" dxfId="43" priority="31"/>
  </conditionalFormatting>
  <conditionalFormatting sqref="C585">
    <cfRule type="duplicateValues" dxfId="42" priority="30"/>
  </conditionalFormatting>
  <conditionalFormatting sqref="C586">
    <cfRule type="duplicateValues" dxfId="41" priority="29"/>
  </conditionalFormatting>
  <conditionalFormatting sqref="C590:C594">
    <cfRule type="duplicateValues" dxfId="40" priority="28"/>
  </conditionalFormatting>
  <conditionalFormatting sqref="C598:C608">
    <cfRule type="duplicateValues" dxfId="39" priority="27"/>
  </conditionalFormatting>
  <conditionalFormatting sqref="C609:C610">
    <cfRule type="duplicateValues" dxfId="38" priority="26"/>
  </conditionalFormatting>
  <conditionalFormatting sqref="C619:C622 C624">
    <cfRule type="duplicateValues" dxfId="37" priority="25"/>
  </conditionalFormatting>
  <conditionalFormatting sqref="C628">
    <cfRule type="duplicateValues" dxfId="36" priority="24"/>
  </conditionalFormatting>
  <conditionalFormatting sqref="C632:C635">
    <cfRule type="duplicateValues" dxfId="35" priority="23"/>
  </conditionalFormatting>
  <conditionalFormatting sqref="C636:C638">
    <cfRule type="duplicateValues" dxfId="34" priority="22"/>
  </conditionalFormatting>
  <conditionalFormatting sqref="C647">
    <cfRule type="duplicateValues" dxfId="33" priority="17"/>
  </conditionalFormatting>
  <conditionalFormatting sqref="C648">
    <cfRule type="duplicateValues" dxfId="32" priority="16"/>
  </conditionalFormatting>
  <conditionalFormatting sqref="C650:C651">
    <cfRule type="duplicateValues" dxfId="31" priority="21"/>
  </conditionalFormatting>
  <conditionalFormatting sqref="C655:C657">
    <cfRule type="duplicateValues" dxfId="30" priority="20"/>
  </conditionalFormatting>
  <conditionalFormatting sqref="C661">
    <cfRule type="duplicateValues" dxfId="29" priority="19"/>
  </conditionalFormatting>
  <conditionalFormatting sqref="C662:C663">
    <cfRule type="duplicateValues" dxfId="28" priority="18"/>
  </conditionalFormatting>
  <conditionalFormatting sqref="C671">
    <cfRule type="duplicateValues" dxfId="27" priority="15"/>
  </conditionalFormatting>
  <conditionalFormatting sqref="C672">
    <cfRule type="duplicateValues" dxfId="26" priority="14"/>
  </conditionalFormatting>
  <conditionalFormatting sqref="C676">
    <cfRule type="duplicateValues" dxfId="25" priority="13"/>
  </conditionalFormatting>
  <conditionalFormatting sqref="C680:C681">
    <cfRule type="duplicateValues" dxfId="24" priority="12"/>
  </conditionalFormatting>
  <conditionalFormatting sqref="C689:C693">
    <cfRule type="duplicateValues" dxfId="23" priority="11"/>
  </conditionalFormatting>
  <conditionalFormatting sqref="C697">
    <cfRule type="duplicateValues" dxfId="22" priority="10"/>
  </conditionalFormatting>
  <conditionalFormatting sqref="C701">
    <cfRule type="duplicateValues" dxfId="21" priority="9"/>
  </conditionalFormatting>
  <conditionalFormatting sqref="C709">
    <cfRule type="duplicateValues" dxfId="20" priority="7"/>
  </conditionalFormatting>
  <conditionalFormatting sqref="C713">
    <cfRule type="duplicateValues" dxfId="19" priority="5"/>
  </conditionalFormatting>
  <conditionalFormatting sqref="C717:C718">
    <cfRule type="duplicateValues" dxfId="18" priority="3"/>
  </conditionalFormatting>
  <conditionalFormatting sqref="C719">
    <cfRule type="duplicateValues" dxfId="17" priority="1"/>
  </conditionalFormatting>
  <pageMargins left="0.7" right="0.7" top="0.75" bottom="0.75" header="0.3" footer="0.3"/>
  <pageSetup paperSize="9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4ED1D-8170-48C6-B0DF-9073A7849E9F}">
  <dimension ref="A1:G111"/>
  <sheetViews>
    <sheetView topLeftCell="A79" workbookViewId="0">
      <selection activeCell="G104" sqref="G104"/>
    </sheetView>
  </sheetViews>
  <sheetFormatPr baseColWidth="10" defaultRowHeight="15" x14ac:dyDescent="0.25"/>
  <cols>
    <col min="1" max="1" width="11.5703125" style="5"/>
    <col min="7" max="7" width="15.140625" bestFit="1" customWidth="1"/>
  </cols>
  <sheetData>
    <row r="1" spans="1:7" ht="14.45" customHeight="1" x14ac:dyDescent="0.25">
      <c r="B1" s="157" t="s">
        <v>297</v>
      </c>
      <c r="C1" s="157"/>
      <c r="D1" s="157"/>
      <c r="E1" s="157"/>
      <c r="F1" s="157"/>
    </row>
    <row r="2" spans="1:7" ht="14.45" customHeight="1" x14ac:dyDescent="0.25">
      <c r="B2" s="10" t="s">
        <v>0</v>
      </c>
      <c r="C2" s="69" t="s">
        <v>1</v>
      </c>
      <c r="D2" s="10" t="s">
        <v>128</v>
      </c>
      <c r="E2" s="10" t="s">
        <v>120</v>
      </c>
      <c r="F2" s="17" t="s">
        <v>2</v>
      </c>
    </row>
    <row r="3" spans="1:7" ht="14.45" customHeight="1" x14ac:dyDescent="0.25">
      <c r="A3" s="77">
        <v>46052</v>
      </c>
      <c r="B3" s="9">
        <v>93</v>
      </c>
      <c r="C3" s="3" t="s">
        <v>191</v>
      </c>
      <c r="D3" s="3" t="s">
        <v>16</v>
      </c>
      <c r="E3" s="8">
        <v>46025</v>
      </c>
      <c r="F3" s="3">
        <v>65</v>
      </c>
      <c r="G3" t="s">
        <v>129</v>
      </c>
    </row>
    <row r="4" spans="1:7" ht="14.45" customHeight="1" x14ac:dyDescent="0.25"/>
    <row r="5" spans="1:7" ht="14.45" customHeight="1" x14ac:dyDescent="0.25">
      <c r="B5" s="157" t="s">
        <v>301</v>
      </c>
      <c r="C5" s="157"/>
      <c r="D5" s="157"/>
      <c r="E5" s="157"/>
      <c r="F5" s="157"/>
    </row>
    <row r="6" spans="1:7" ht="14.45" customHeight="1" x14ac:dyDescent="0.25">
      <c r="B6" s="10" t="s">
        <v>0</v>
      </c>
      <c r="C6" s="69" t="s">
        <v>1</v>
      </c>
      <c r="D6" s="10" t="s">
        <v>128</v>
      </c>
      <c r="E6" s="10" t="s">
        <v>120</v>
      </c>
      <c r="F6" s="17" t="s">
        <v>2</v>
      </c>
    </row>
    <row r="7" spans="1:7" ht="14.45" customHeight="1" x14ac:dyDescent="0.25">
      <c r="B7" s="17" t="s">
        <v>223</v>
      </c>
      <c r="C7" s="11" t="s">
        <v>223</v>
      </c>
      <c r="D7" s="11" t="s">
        <v>223</v>
      </c>
      <c r="E7" s="8" t="s">
        <v>223</v>
      </c>
      <c r="F7" s="11" t="s">
        <v>223</v>
      </c>
    </row>
    <row r="8" spans="1:7" ht="14.45" customHeight="1" x14ac:dyDescent="0.25"/>
    <row r="9" spans="1:7" ht="14.45" customHeight="1" x14ac:dyDescent="0.25">
      <c r="B9" s="157" t="s">
        <v>308</v>
      </c>
      <c r="C9" s="157"/>
      <c r="D9" s="157"/>
      <c r="E9" s="157"/>
      <c r="F9" s="157"/>
    </row>
    <row r="10" spans="1:7" ht="14.45" customHeight="1" x14ac:dyDescent="0.25">
      <c r="B10" s="10" t="s">
        <v>0</v>
      </c>
      <c r="C10" s="69" t="s">
        <v>1</v>
      </c>
      <c r="D10" s="10" t="s">
        <v>128</v>
      </c>
      <c r="E10" s="10" t="s">
        <v>120</v>
      </c>
      <c r="F10" s="17" t="s">
        <v>2</v>
      </c>
    </row>
    <row r="11" spans="1:7" ht="14.45" customHeight="1" x14ac:dyDescent="0.25">
      <c r="A11" s="77">
        <v>46055</v>
      </c>
      <c r="B11" s="9">
        <v>95</v>
      </c>
      <c r="C11" s="3" t="s">
        <v>215</v>
      </c>
      <c r="D11" s="3" t="s">
        <v>16</v>
      </c>
      <c r="E11" s="80">
        <v>46039</v>
      </c>
      <c r="F11" s="3">
        <v>67</v>
      </c>
      <c r="G11" t="s">
        <v>129</v>
      </c>
    </row>
    <row r="12" spans="1:7" ht="14.45" customHeight="1" x14ac:dyDescent="0.25"/>
    <row r="13" spans="1:7" ht="14.45" customHeight="1" x14ac:dyDescent="0.25">
      <c r="B13" s="157" t="s">
        <v>322</v>
      </c>
      <c r="C13" s="157"/>
      <c r="D13" s="157"/>
      <c r="E13" s="157"/>
      <c r="F13" s="157"/>
    </row>
    <row r="14" spans="1:7" ht="14.45" customHeight="1" x14ac:dyDescent="0.25">
      <c r="A14" s="77">
        <v>46044</v>
      </c>
      <c r="B14" s="9">
        <v>58</v>
      </c>
      <c r="C14" s="3" t="s">
        <v>241</v>
      </c>
      <c r="D14" s="3" t="s">
        <v>6</v>
      </c>
      <c r="E14" s="8">
        <v>46045</v>
      </c>
      <c r="F14" s="3">
        <v>65</v>
      </c>
      <c r="G14" t="s">
        <v>129</v>
      </c>
    </row>
    <row r="15" spans="1:7" ht="14.45" customHeight="1" x14ac:dyDescent="0.25">
      <c r="A15" s="77">
        <v>46052</v>
      </c>
      <c r="B15" s="9">
        <v>67</v>
      </c>
      <c r="C15" s="3" t="s">
        <v>240</v>
      </c>
      <c r="D15" s="3" t="s">
        <v>6</v>
      </c>
      <c r="E15" s="8">
        <v>46042</v>
      </c>
      <c r="F15" s="3">
        <v>65</v>
      </c>
      <c r="G15" t="s">
        <v>129</v>
      </c>
    </row>
    <row r="16" spans="1:7" ht="14.45" customHeight="1" x14ac:dyDescent="0.25">
      <c r="A16" s="77">
        <v>46044</v>
      </c>
      <c r="B16" s="9">
        <v>69</v>
      </c>
      <c r="C16" s="3" t="s">
        <v>234</v>
      </c>
      <c r="D16" s="3" t="s">
        <v>6</v>
      </c>
      <c r="E16" s="8">
        <v>46046</v>
      </c>
      <c r="F16" s="3">
        <v>65</v>
      </c>
      <c r="G16" t="s">
        <v>348</v>
      </c>
    </row>
    <row r="17" spans="1:7" ht="14.45" customHeight="1" x14ac:dyDescent="0.25">
      <c r="A17" s="77">
        <v>46052</v>
      </c>
      <c r="B17" s="9">
        <v>70</v>
      </c>
      <c r="C17" s="3" t="s">
        <v>227</v>
      </c>
      <c r="D17" s="3" t="s">
        <v>6</v>
      </c>
      <c r="E17" s="8">
        <v>46042</v>
      </c>
      <c r="F17" s="3">
        <v>60</v>
      </c>
      <c r="G17" t="s">
        <v>348</v>
      </c>
    </row>
    <row r="18" spans="1:7" ht="14.45" customHeight="1" x14ac:dyDescent="0.25">
      <c r="A18" s="5" t="s">
        <v>371</v>
      </c>
      <c r="B18" s="9">
        <v>72</v>
      </c>
      <c r="C18" s="3" t="s">
        <v>212</v>
      </c>
      <c r="D18" s="3" t="s">
        <v>6</v>
      </c>
      <c r="E18" s="8">
        <v>46045</v>
      </c>
      <c r="F18" s="3">
        <v>64</v>
      </c>
      <c r="G18" t="s">
        <v>129</v>
      </c>
    </row>
    <row r="19" spans="1:7" ht="14.45" customHeight="1" x14ac:dyDescent="0.25"/>
    <row r="20" spans="1:7" ht="14.45" customHeight="1" x14ac:dyDescent="0.25">
      <c r="B20" s="157" t="s">
        <v>341</v>
      </c>
      <c r="C20" s="157"/>
      <c r="D20" s="157"/>
      <c r="E20" s="157"/>
      <c r="F20" s="157"/>
    </row>
    <row r="21" spans="1:7" ht="14.45" customHeight="1" x14ac:dyDescent="0.25">
      <c r="B21" s="10" t="s">
        <v>0</v>
      </c>
      <c r="C21" s="69" t="s">
        <v>1</v>
      </c>
      <c r="D21" s="10" t="s">
        <v>128</v>
      </c>
      <c r="E21" s="10" t="s">
        <v>120</v>
      </c>
      <c r="F21" s="17" t="s">
        <v>2</v>
      </c>
    </row>
    <row r="22" spans="1:7" ht="14.45" customHeight="1" x14ac:dyDescent="0.25">
      <c r="A22" s="77">
        <v>46055</v>
      </c>
      <c r="B22" s="9">
        <v>60</v>
      </c>
      <c r="C22" s="3" t="s">
        <v>229</v>
      </c>
      <c r="D22" s="3" t="s">
        <v>6</v>
      </c>
      <c r="E22" s="8">
        <v>46048</v>
      </c>
      <c r="F22" s="3">
        <v>69</v>
      </c>
      <c r="G22" t="s">
        <v>129</v>
      </c>
    </row>
    <row r="23" spans="1:7" ht="14.45" customHeight="1" x14ac:dyDescent="0.25">
      <c r="A23" s="77">
        <v>46052</v>
      </c>
      <c r="B23" s="9">
        <v>74</v>
      </c>
      <c r="C23" s="3" t="s">
        <v>246</v>
      </c>
      <c r="D23" s="3" t="s">
        <v>6</v>
      </c>
      <c r="E23" s="8">
        <v>46048</v>
      </c>
      <c r="F23" s="3">
        <v>65</v>
      </c>
      <c r="G23" t="s">
        <v>129</v>
      </c>
    </row>
    <row r="24" spans="1:7" ht="14.45" customHeight="1" x14ac:dyDescent="0.25">
      <c r="A24" s="77">
        <v>46055</v>
      </c>
      <c r="B24" s="9">
        <v>78</v>
      </c>
      <c r="C24" s="3" t="s">
        <v>242</v>
      </c>
      <c r="D24" s="3" t="s">
        <v>6</v>
      </c>
      <c r="E24" s="8">
        <v>46052</v>
      </c>
      <c r="F24" s="3">
        <v>52</v>
      </c>
      <c r="G24" t="s">
        <v>342</v>
      </c>
    </row>
    <row r="25" spans="1:7" ht="14.45" customHeight="1" x14ac:dyDescent="0.25">
      <c r="A25" s="5" t="s">
        <v>178</v>
      </c>
      <c r="B25" s="9">
        <v>80</v>
      </c>
      <c r="C25" s="3" t="s">
        <v>146</v>
      </c>
      <c r="D25" s="3" t="s">
        <v>6</v>
      </c>
      <c r="E25" s="76">
        <v>46049</v>
      </c>
      <c r="F25" s="3">
        <v>65</v>
      </c>
      <c r="G25" t="s">
        <v>343</v>
      </c>
    </row>
    <row r="26" spans="1:7" ht="14.45" customHeight="1" x14ac:dyDescent="0.25"/>
    <row r="27" spans="1:7" ht="14.45" customHeight="1" x14ac:dyDescent="0.25">
      <c r="B27" s="157" t="s">
        <v>352</v>
      </c>
      <c r="C27" s="157"/>
      <c r="D27" s="157"/>
      <c r="E27" s="157"/>
      <c r="F27" s="157"/>
    </row>
    <row r="28" spans="1:7" ht="14.45" customHeight="1" x14ac:dyDescent="0.25">
      <c r="B28" s="10" t="s">
        <v>0</v>
      </c>
      <c r="C28" s="69" t="s">
        <v>1</v>
      </c>
      <c r="D28" s="10" t="s">
        <v>128</v>
      </c>
      <c r="E28" s="10" t="s">
        <v>120</v>
      </c>
      <c r="F28" s="17" t="s">
        <v>2</v>
      </c>
    </row>
    <row r="29" spans="1:7" ht="14.45" customHeight="1" x14ac:dyDescent="0.25">
      <c r="A29" s="5" t="s">
        <v>178</v>
      </c>
      <c r="B29" s="9">
        <v>73</v>
      </c>
      <c r="C29" s="3" t="s">
        <v>247</v>
      </c>
      <c r="D29" s="3" t="s">
        <v>6</v>
      </c>
      <c r="E29" s="8">
        <v>46055</v>
      </c>
      <c r="F29" s="3">
        <v>65</v>
      </c>
      <c r="G29" t="s">
        <v>129</v>
      </c>
    </row>
    <row r="30" spans="1:7" ht="14.45" customHeight="1" x14ac:dyDescent="0.25">
      <c r="A30" s="77">
        <v>46063</v>
      </c>
      <c r="B30" s="9">
        <v>96</v>
      </c>
      <c r="C30" s="3" t="s">
        <v>239</v>
      </c>
      <c r="D30" s="3" t="s">
        <v>16</v>
      </c>
      <c r="E30" s="8">
        <v>46056</v>
      </c>
      <c r="F30" s="3">
        <v>65</v>
      </c>
      <c r="G30" t="s">
        <v>129</v>
      </c>
    </row>
    <row r="31" spans="1:7" ht="14.45" customHeight="1" x14ac:dyDescent="0.25">
      <c r="A31" s="5" t="s">
        <v>178</v>
      </c>
      <c r="B31" s="9">
        <v>76</v>
      </c>
      <c r="C31" s="3" t="s">
        <v>151</v>
      </c>
      <c r="D31" s="3" t="s">
        <v>6</v>
      </c>
      <c r="E31" s="8">
        <v>46059</v>
      </c>
      <c r="F31" s="3">
        <v>58</v>
      </c>
      <c r="G31" t="s">
        <v>14</v>
      </c>
    </row>
    <row r="32" spans="1:7" ht="14.45" customHeight="1" x14ac:dyDescent="0.25">
      <c r="A32" s="5" t="s">
        <v>178</v>
      </c>
      <c r="B32" s="9">
        <v>83</v>
      </c>
      <c r="C32" s="14" t="s">
        <v>293</v>
      </c>
      <c r="D32" s="3" t="s">
        <v>6</v>
      </c>
      <c r="E32" s="8">
        <v>46056</v>
      </c>
      <c r="F32" s="3">
        <v>15</v>
      </c>
      <c r="G32" t="s">
        <v>14</v>
      </c>
    </row>
    <row r="33" spans="1:7" ht="14.45" customHeight="1" x14ac:dyDescent="0.25">
      <c r="A33" s="77">
        <v>46063</v>
      </c>
      <c r="B33" s="9">
        <v>97</v>
      </c>
      <c r="C33" s="3" t="s">
        <v>141</v>
      </c>
      <c r="D33" s="3" t="s">
        <v>16</v>
      </c>
      <c r="E33" s="8">
        <v>46056</v>
      </c>
      <c r="F33" s="3">
        <v>65</v>
      </c>
      <c r="G33" t="s">
        <v>14</v>
      </c>
    </row>
    <row r="34" spans="1:7" ht="14.45" customHeight="1" x14ac:dyDescent="0.25"/>
    <row r="35" spans="1:7" ht="14.45" customHeight="1" x14ac:dyDescent="0.25">
      <c r="B35" s="157" t="s">
        <v>366</v>
      </c>
      <c r="C35" s="157"/>
      <c r="D35" s="157"/>
      <c r="E35" s="157"/>
      <c r="F35" s="157"/>
    </row>
    <row r="36" spans="1:7" ht="14.45" customHeight="1" x14ac:dyDescent="0.25">
      <c r="B36" s="10" t="s">
        <v>0</v>
      </c>
      <c r="C36" s="69" t="s">
        <v>1</v>
      </c>
      <c r="D36" s="10" t="s">
        <v>128</v>
      </c>
      <c r="E36" s="10" t="s">
        <v>120</v>
      </c>
      <c r="F36" s="17" t="s">
        <v>2</v>
      </c>
    </row>
    <row r="37" spans="1:7" ht="14.45" customHeight="1" x14ac:dyDescent="0.25">
      <c r="A37" s="77">
        <v>46063</v>
      </c>
      <c r="B37" s="9">
        <v>66</v>
      </c>
      <c r="C37" s="3" t="s">
        <v>273</v>
      </c>
      <c r="D37" s="3" t="s">
        <v>6</v>
      </c>
      <c r="E37" s="8">
        <v>46066</v>
      </c>
      <c r="F37" s="3">
        <v>65</v>
      </c>
      <c r="G37" t="s">
        <v>129</v>
      </c>
    </row>
    <row r="38" spans="1:7" ht="14.45" customHeight="1" x14ac:dyDescent="0.25"/>
    <row r="39" spans="1:7" ht="14.45" customHeight="1" x14ac:dyDescent="0.25">
      <c r="B39" s="157" t="s">
        <v>375</v>
      </c>
      <c r="C39" s="157"/>
      <c r="D39" s="157"/>
      <c r="E39" s="157"/>
      <c r="F39" s="157"/>
    </row>
    <row r="40" spans="1:7" ht="14.45" customHeight="1" x14ac:dyDescent="0.25">
      <c r="B40" s="10" t="s">
        <v>0</v>
      </c>
      <c r="C40" s="69" t="s">
        <v>1</v>
      </c>
      <c r="D40" s="10" t="s">
        <v>128</v>
      </c>
      <c r="E40" s="10" t="s">
        <v>120</v>
      </c>
      <c r="F40" s="17" t="s">
        <v>2</v>
      </c>
    </row>
    <row r="41" spans="1:7" ht="14.45" customHeight="1" x14ac:dyDescent="0.25">
      <c r="A41" s="77">
        <v>46070</v>
      </c>
      <c r="B41" s="9">
        <v>62</v>
      </c>
      <c r="C41" s="3" t="s">
        <v>275</v>
      </c>
      <c r="D41" s="3" t="s">
        <v>6</v>
      </c>
      <c r="E41" s="8">
        <v>46073</v>
      </c>
      <c r="F41" s="3">
        <v>63</v>
      </c>
      <c r="G41" t="s">
        <v>129</v>
      </c>
    </row>
    <row r="42" spans="1:7" ht="14.45" customHeight="1" x14ac:dyDescent="0.25">
      <c r="B42" s="9">
        <v>99</v>
      </c>
      <c r="C42" s="3" t="s">
        <v>192</v>
      </c>
      <c r="D42" s="3" t="s">
        <v>16</v>
      </c>
      <c r="E42" s="8">
        <v>46073</v>
      </c>
      <c r="F42" s="3">
        <v>67</v>
      </c>
      <c r="G42" t="s">
        <v>14</v>
      </c>
    </row>
    <row r="43" spans="1:7" ht="14.45" customHeight="1" x14ac:dyDescent="0.25"/>
    <row r="44" spans="1:7" ht="14.45" customHeight="1" x14ac:dyDescent="0.25">
      <c r="B44" s="157" t="s">
        <v>396</v>
      </c>
      <c r="C44" s="157"/>
      <c r="D44" s="157"/>
      <c r="E44" s="157"/>
      <c r="F44" s="157"/>
    </row>
    <row r="45" spans="1:7" ht="14.45" customHeight="1" x14ac:dyDescent="0.25">
      <c r="B45" s="10" t="s">
        <v>0</v>
      </c>
      <c r="C45" s="69" t="s">
        <v>1</v>
      </c>
      <c r="D45" s="10" t="s">
        <v>128</v>
      </c>
      <c r="E45" s="10" t="s">
        <v>120</v>
      </c>
      <c r="F45" s="17" t="s">
        <v>2</v>
      </c>
    </row>
    <row r="46" spans="1:7" ht="14.45" customHeight="1" x14ac:dyDescent="0.25">
      <c r="A46" s="77">
        <v>46084</v>
      </c>
      <c r="B46" s="9">
        <v>75</v>
      </c>
      <c r="C46" s="3" t="s">
        <v>289</v>
      </c>
      <c r="D46" s="3" t="s">
        <v>6</v>
      </c>
      <c r="E46" s="8">
        <v>46084</v>
      </c>
      <c r="F46" s="3">
        <v>65</v>
      </c>
      <c r="G46" t="s">
        <v>129</v>
      </c>
    </row>
    <row r="47" spans="1:7" ht="14.45" customHeight="1" x14ac:dyDescent="0.25"/>
    <row r="48" spans="1:7" ht="14.45" customHeight="1" x14ac:dyDescent="0.25">
      <c r="B48" s="157" t="s">
        <v>401</v>
      </c>
      <c r="C48" s="157"/>
      <c r="D48" s="157"/>
      <c r="E48" s="157"/>
      <c r="F48" s="157"/>
    </row>
    <row r="49" spans="1:7" ht="14.45" customHeight="1" x14ac:dyDescent="0.25">
      <c r="A49" s="77">
        <v>46091</v>
      </c>
      <c r="B49" s="9">
        <v>58</v>
      </c>
      <c r="C49" s="3" t="s">
        <v>286</v>
      </c>
      <c r="D49" s="3" t="s">
        <v>6</v>
      </c>
      <c r="E49" s="76">
        <v>46094</v>
      </c>
      <c r="F49" s="3">
        <v>23</v>
      </c>
      <c r="G49" t="s">
        <v>129</v>
      </c>
    </row>
    <row r="50" spans="1:7" ht="14.45" customHeight="1" x14ac:dyDescent="0.25">
      <c r="A50" s="77">
        <v>46091</v>
      </c>
      <c r="B50" s="9">
        <v>59</v>
      </c>
      <c r="C50" s="3" t="s">
        <v>304</v>
      </c>
      <c r="D50" s="3" t="s">
        <v>6</v>
      </c>
      <c r="E50" s="76">
        <v>46090</v>
      </c>
      <c r="F50" s="3">
        <v>63</v>
      </c>
      <c r="G50" t="s">
        <v>129</v>
      </c>
    </row>
    <row r="51" spans="1:7" ht="14.45" customHeight="1" x14ac:dyDescent="0.25">
      <c r="A51" s="77">
        <v>46090</v>
      </c>
      <c r="B51" s="9">
        <v>85</v>
      </c>
      <c r="C51" s="3" t="s">
        <v>312</v>
      </c>
      <c r="D51" s="3" t="s">
        <v>16</v>
      </c>
      <c r="E51" s="76">
        <v>46096</v>
      </c>
      <c r="F51" s="3">
        <v>65</v>
      </c>
      <c r="G51" t="s">
        <v>129</v>
      </c>
    </row>
    <row r="52" spans="1:7" ht="14.45" customHeight="1" x14ac:dyDescent="0.25">
      <c r="A52" s="77">
        <v>46091</v>
      </c>
      <c r="B52" s="9">
        <v>91</v>
      </c>
      <c r="C52" s="3" t="s">
        <v>190</v>
      </c>
      <c r="D52" s="3" t="s">
        <v>16</v>
      </c>
      <c r="E52" s="76">
        <v>46090</v>
      </c>
      <c r="F52" s="3">
        <v>58</v>
      </c>
      <c r="G52" t="s">
        <v>129</v>
      </c>
    </row>
    <row r="53" spans="1:7" ht="14.45" customHeight="1" x14ac:dyDescent="0.25"/>
    <row r="54" spans="1:7" ht="14.45" customHeight="1" x14ac:dyDescent="0.25">
      <c r="B54" s="157" t="s">
        <v>412</v>
      </c>
      <c r="C54" s="157"/>
      <c r="D54" s="157"/>
      <c r="E54" s="157"/>
      <c r="F54" s="157"/>
    </row>
    <row r="55" spans="1:7" ht="14.45" customHeight="1" x14ac:dyDescent="0.25">
      <c r="B55" s="10" t="s">
        <v>0</v>
      </c>
      <c r="C55" s="69" t="s">
        <v>1</v>
      </c>
      <c r="D55" s="10" t="s">
        <v>128</v>
      </c>
      <c r="E55" s="10" t="s">
        <v>120</v>
      </c>
      <c r="F55" s="17" t="s">
        <v>2</v>
      </c>
    </row>
    <row r="56" spans="1:7" ht="14.45" customHeight="1" x14ac:dyDescent="0.25">
      <c r="A56" s="77">
        <v>46106</v>
      </c>
      <c r="B56" s="9">
        <v>35</v>
      </c>
      <c r="C56" s="3" t="s">
        <v>326</v>
      </c>
      <c r="D56" s="3" t="s">
        <v>16</v>
      </c>
      <c r="E56" s="8">
        <v>46098</v>
      </c>
      <c r="F56" s="3">
        <v>26</v>
      </c>
      <c r="G56" t="s">
        <v>129</v>
      </c>
    </row>
    <row r="57" spans="1:7" ht="14.45" customHeight="1" x14ac:dyDescent="0.25">
      <c r="A57" s="77">
        <v>46106</v>
      </c>
      <c r="B57" s="9">
        <v>37</v>
      </c>
      <c r="C57" s="3" t="s">
        <v>324</v>
      </c>
      <c r="D57" s="3" t="s">
        <v>16</v>
      </c>
      <c r="E57" s="8">
        <v>46098</v>
      </c>
      <c r="F57" s="3">
        <v>23</v>
      </c>
      <c r="G57" t="s">
        <v>129</v>
      </c>
    </row>
    <row r="58" spans="1:7" ht="14.45" customHeight="1" x14ac:dyDescent="0.25">
      <c r="A58" s="5" t="s">
        <v>178</v>
      </c>
      <c r="B58" s="9">
        <v>46</v>
      </c>
      <c r="C58" s="3" t="s">
        <v>327</v>
      </c>
      <c r="D58" s="3" t="s">
        <v>16</v>
      </c>
      <c r="E58" s="8">
        <v>46098</v>
      </c>
      <c r="F58" s="3">
        <v>65</v>
      </c>
      <c r="G58" t="s">
        <v>129</v>
      </c>
    </row>
    <row r="59" spans="1:7" ht="14.45" customHeight="1" x14ac:dyDescent="0.25">
      <c r="A59" s="77">
        <v>46099</v>
      </c>
      <c r="B59" s="9">
        <v>48</v>
      </c>
      <c r="C59" s="3" t="s">
        <v>317</v>
      </c>
      <c r="D59" s="3" t="s">
        <v>16</v>
      </c>
      <c r="E59" s="8">
        <v>46098</v>
      </c>
      <c r="F59" s="3">
        <v>65</v>
      </c>
      <c r="G59" t="s">
        <v>129</v>
      </c>
    </row>
    <row r="60" spans="1:7" ht="14.45" customHeight="1" x14ac:dyDescent="0.25">
      <c r="A60" s="77">
        <v>46099</v>
      </c>
      <c r="B60" s="9">
        <v>64</v>
      </c>
      <c r="C60" s="3" t="s">
        <v>310</v>
      </c>
      <c r="D60" s="3" t="s">
        <v>6</v>
      </c>
      <c r="E60" s="8">
        <v>46101</v>
      </c>
      <c r="F60" s="3">
        <v>66</v>
      </c>
      <c r="G60" t="s">
        <v>129</v>
      </c>
    </row>
    <row r="61" spans="1:7" ht="14.45" customHeight="1" x14ac:dyDescent="0.25">
      <c r="A61" s="5" t="s">
        <v>178</v>
      </c>
      <c r="B61" s="9">
        <v>81</v>
      </c>
      <c r="C61" s="3" t="s">
        <v>271</v>
      </c>
      <c r="D61" s="3" t="s">
        <v>6</v>
      </c>
      <c r="E61" s="8">
        <v>46101</v>
      </c>
      <c r="F61" s="3">
        <v>23</v>
      </c>
      <c r="G61" t="s">
        <v>129</v>
      </c>
    </row>
    <row r="62" spans="1:7" ht="14.45" customHeight="1" x14ac:dyDescent="0.25">
      <c r="A62" s="77">
        <v>46099</v>
      </c>
      <c r="B62" s="9">
        <v>82</v>
      </c>
      <c r="C62" s="3" t="s">
        <v>331</v>
      </c>
      <c r="D62" s="3" t="s">
        <v>6</v>
      </c>
      <c r="E62" s="8">
        <v>46102</v>
      </c>
      <c r="F62" s="3">
        <v>65</v>
      </c>
      <c r="G62" t="s">
        <v>129</v>
      </c>
    </row>
    <row r="63" spans="1:7" ht="14.45" customHeight="1" x14ac:dyDescent="0.25">
      <c r="A63" s="5" t="s">
        <v>178</v>
      </c>
      <c r="B63" s="9">
        <v>84</v>
      </c>
      <c r="C63" s="3" t="s">
        <v>316</v>
      </c>
      <c r="D63" s="3" t="s">
        <v>16</v>
      </c>
      <c r="E63" s="8">
        <v>46098</v>
      </c>
      <c r="F63" s="3">
        <v>65</v>
      </c>
      <c r="G63" t="s">
        <v>129</v>
      </c>
    </row>
    <row r="64" spans="1:7" ht="14.45" customHeight="1" x14ac:dyDescent="0.25">
      <c r="A64" s="77">
        <v>46100</v>
      </c>
      <c r="B64" s="9">
        <v>86</v>
      </c>
      <c r="C64" s="3" t="s">
        <v>313</v>
      </c>
      <c r="D64" s="3" t="s">
        <v>16</v>
      </c>
      <c r="E64" s="8">
        <v>46097</v>
      </c>
      <c r="F64" s="3">
        <v>65</v>
      </c>
      <c r="G64" t="s">
        <v>129</v>
      </c>
    </row>
    <row r="65" spans="1:7" ht="14.45" customHeight="1" x14ac:dyDescent="0.25">
      <c r="A65" s="77">
        <v>46100</v>
      </c>
      <c r="B65" s="9">
        <v>87</v>
      </c>
      <c r="C65" s="3" t="s">
        <v>314</v>
      </c>
      <c r="D65" s="3" t="s">
        <v>16</v>
      </c>
      <c r="E65" s="8">
        <v>46097</v>
      </c>
      <c r="F65" s="3">
        <v>65</v>
      </c>
      <c r="G65" t="s">
        <v>129</v>
      </c>
    </row>
    <row r="66" spans="1:7" ht="14.45" customHeight="1" x14ac:dyDescent="0.25">
      <c r="A66" s="77">
        <v>46100</v>
      </c>
      <c r="B66" s="9">
        <v>88</v>
      </c>
      <c r="C66" s="3" t="s">
        <v>315</v>
      </c>
      <c r="D66" s="3" t="s">
        <v>16</v>
      </c>
      <c r="E66" s="8">
        <v>46097</v>
      </c>
      <c r="F66" s="3">
        <v>65</v>
      </c>
      <c r="G66" t="s">
        <v>129</v>
      </c>
    </row>
    <row r="67" spans="1:7" ht="14.45" customHeight="1" x14ac:dyDescent="0.25">
      <c r="A67" s="5" t="s">
        <v>178</v>
      </c>
      <c r="B67" s="9">
        <v>67</v>
      </c>
      <c r="C67" s="3" t="s">
        <v>240</v>
      </c>
      <c r="D67" s="3" t="s">
        <v>6</v>
      </c>
      <c r="E67" s="8">
        <v>46102</v>
      </c>
      <c r="F67" s="3">
        <v>65</v>
      </c>
      <c r="G67" t="s">
        <v>14</v>
      </c>
    </row>
    <row r="68" spans="1:7" ht="14.45" customHeight="1" x14ac:dyDescent="0.25">
      <c r="A68" s="77">
        <v>46100</v>
      </c>
      <c r="B68" s="9">
        <v>95</v>
      </c>
      <c r="C68" s="3" t="s">
        <v>215</v>
      </c>
      <c r="D68" s="3" t="s">
        <v>16</v>
      </c>
      <c r="E68" s="8">
        <v>46099</v>
      </c>
      <c r="F68" s="3">
        <v>67</v>
      </c>
      <c r="G68" t="s">
        <v>14</v>
      </c>
    </row>
    <row r="69" spans="1:7" ht="14.45" customHeight="1" x14ac:dyDescent="0.25"/>
    <row r="70" spans="1:7" x14ac:dyDescent="0.25">
      <c r="B70" s="157" t="s">
        <v>423</v>
      </c>
      <c r="C70" s="157"/>
      <c r="D70" s="157"/>
      <c r="E70" s="157"/>
      <c r="F70" s="157"/>
    </row>
    <row r="71" spans="1:7" ht="14.45" customHeight="1" x14ac:dyDescent="0.25">
      <c r="B71" s="10" t="s">
        <v>0</v>
      </c>
      <c r="C71" s="69" t="s">
        <v>1</v>
      </c>
      <c r="D71" s="10" t="s">
        <v>128</v>
      </c>
      <c r="E71" s="10" t="s">
        <v>120</v>
      </c>
      <c r="F71" s="17" t="s">
        <v>2</v>
      </c>
    </row>
    <row r="72" spans="1:7" x14ac:dyDescent="0.25">
      <c r="A72" s="77">
        <v>46106</v>
      </c>
      <c r="B72" s="9">
        <v>42</v>
      </c>
      <c r="C72" s="3" t="s">
        <v>287</v>
      </c>
      <c r="D72" s="3" t="s">
        <v>16</v>
      </c>
      <c r="E72" s="8">
        <v>46104</v>
      </c>
      <c r="F72" s="3">
        <v>63</v>
      </c>
      <c r="G72" t="s">
        <v>129</v>
      </c>
    </row>
    <row r="73" spans="1:7" x14ac:dyDescent="0.25">
      <c r="A73" s="77">
        <v>46106</v>
      </c>
      <c r="B73" s="9">
        <v>44</v>
      </c>
      <c r="C73" s="3" t="s">
        <v>291</v>
      </c>
      <c r="D73" s="3" t="s">
        <v>16</v>
      </c>
      <c r="E73" s="8">
        <v>46104</v>
      </c>
      <c r="F73" s="3">
        <v>65</v>
      </c>
      <c r="G73" t="s">
        <v>129</v>
      </c>
    </row>
    <row r="74" spans="1:7" x14ac:dyDescent="0.25">
      <c r="A74" s="77">
        <v>46106</v>
      </c>
      <c r="B74" s="9">
        <v>54</v>
      </c>
      <c r="C74" s="3" t="s">
        <v>277</v>
      </c>
      <c r="D74" s="3" t="s">
        <v>16</v>
      </c>
      <c r="E74" s="8">
        <v>46110</v>
      </c>
      <c r="F74" s="3">
        <v>65</v>
      </c>
      <c r="G74" t="s">
        <v>129</v>
      </c>
    </row>
    <row r="75" spans="1:7" x14ac:dyDescent="0.25">
      <c r="A75" s="77">
        <v>46106</v>
      </c>
      <c r="B75" s="9">
        <v>56</v>
      </c>
      <c r="C75" s="3" t="s">
        <v>333</v>
      </c>
      <c r="D75" s="3" t="s">
        <v>6</v>
      </c>
      <c r="E75" s="8">
        <v>46105</v>
      </c>
      <c r="F75" s="3">
        <v>65</v>
      </c>
      <c r="G75" t="s">
        <v>129</v>
      </c>
    </row>
    <row r="76" spans="1:7" x14ac:dyDescent="0.25">
      <c r="A76" s="5" t="s">
        <v>178</v>
      </c>
      <c r="B76" s="9">
        <v>60</v>
      </c>
      <c r="C76" s="3" t="s">
        <v>241</v>
      </c>
      <c r="D76" s="3" t="s">
        <v>6</v>
      </c>
      <c r="E76" s="8">
        <v>46105</v>
      </c>
      <c r="F76" s="3">
        <v>65</v>
      </c>
      <c r="G76" t="s">
        <v>14</v>
      </c>
    </row>
    <row r="77" spans="1:7" x14ac:dyDescent="0.25">
      <c r="A77" s="5" t="s">
        <v>178</v>
      </c>
      <c r="B77" s="9">
        <v>69</v>
      </c>
      <c r="C77" s="3" t="s">
        <v>234</v>
      </c>
      <c r="D77" s="3" t="s">
        <v>6</v>
      </c>
      <c r="E77" s="8">
        <v>46106</v>
      </c>
      <c r="F77" s="3">
        <v>65</v>
      </c>
      <c r="G77" t="s">
        <v>14</v>
      </c>
    </row>
    <row r="78" spans="1:7" x14ac:dyDescent="0.25">
      <c r="A78" s="5" t="s">
        <v>178</v>
      </c>
      <c r="B78" s="9">
        <v>74</v>
      </c>
      <c r="C78" s="3" t="s">
        <v>246</v>
      </c>
      <c r="D78" s="3" t="s">
        <v>6</v>
      </c>
      <c r="E78" s="8">
        <v>46108</v>
      </c>
      <c r="F78" s="3">
        <v>65</v>
      </c>
      <c r="G78" t="s">
        <v>14</v>
      </c>
    </row>
    <row r="80" spans="1:7" ht="14.45" customHeight="1" x14ac:dyDescent="0.25">
      <c r="B80" s="157" t="s">
        <v>428</v>
      </c>
      <c r="C80" s="157"/>
      <c r="D80" s="157"/>
      <c r="E80" s="157"/>
      <c r="F80" s="157"/>
    </row>
    <row r="81" spans="1:7" ht="14.45" customHeight="1" x14ac:dyDescent="0.25">
      <c r="B81" s="10" t="s">
        <v>0</v>
      </c>
      <c r="C81" s="69" t="s">
        <v>1</v>
      </c>
      <c r="D81" s="10" t="s">
        <v>128</v>
      </c>
      <c r="E81" s="10" t="s">
        <v>120</v>
      </c>
      <c r="F81" s="17" t="s">
        <v>2</v>
      </c>
    </row>
    <row r="82" spans="1:7" ht="14.45" customHeight="1" x14ac:dyDescent="0.25">
      <c r="A82" s="77">
        <v>46118</v>
      </c>
      <c r="B82" s="9">
        <v>65</v>
      </c>
      <c r="C82" s="3" t="s">
        <v>344</v>
      </c>
      <c r="D82" s="3" t="s">
        <v>6</v>
      </c>
      <c r="E82" s="76">
        <v>46116</v>
      </c>
      <c r="F82" s="3">
        <v>59</v>
      </c>
      <c r="G82" t="s">
        <v>129</v>
      </c>
    </row>
    <row r="83" spans="1:7" ht="14.45" customHeight="1" x14ac:dyDescent="0.25">
      <c r="A83" s="5" t="s">
        <v>178</v>
      </c>
      <c r="B83" s="9">
        <v>78</v>
      </c>
      <c r="C83" s="3" t="s">
        <v>242</v>
      </c>
      <c r="D83" s="3" t="s">
        <v>6</v>
      </c>
      <c r="E83" s="8">
        <v>46112</v>
      </c>
      <c r="F83" s="3">
        <v>52</v>
      </c>
      <c r="G83" t="s">
        <v>14</v>
      </c>
    </row>
    <row r="84" spans="1:7" ht="14.45" customHeight="1" x14ac:dyDescent="0.25">
      <c r="A84" s="77">
        <v>46118</v>
      </c>
      <c r="B84" s="9">
        <v>96</v>
      </c>
      <c r="C84" s="3" t="s">
        <v>239</v>
      </c>
      <c r="D84" s="3" t="s">
        <v>16</v>
      </c>
      <c r="E84" s="8">
        <v>46116</v>
      </c>
      <c r="F84" s="3">
        <v>65</v>
      </c>
      <c r="G84" t="s">
        <v>14</v>
      </c>
    </row>
    <row r="85" spans="1:7" ht="14.45" customHeight="1" x14ac:dyDescent="0.25"/>
    <row r="86" spans="1:7" ht="14.45" customHeight="1" x14ac:dyDescent="0.25">
      <c r="B86" s="157" t="s">
        <v>435</v>
      </c>
      <c r="C86" s="157"/>
      <c r="D86" s="157"/>
      <c r="E86" s="157"/>
      <c r="F86" s="157"/>
    </row>
    <row r="87" spans="1:7" ht="14.45" customHeight="1" x14ac:dyDescent="0.25">
      <c r="B87" s="10" t="s">
        <v>0</v>
      </c>
      <c r="C87" s="69" t="s">
        <v>1</v>
      </c>
      <c r="D87" s="10" t="s">
        <v>128</v>
      </c>
      <c r="E87" s="10" t="s">
        <v>120</v>
      </c>
      <c r="F87" s="17" t="s">
        <v>2</v>
      </c>
    </row>
    <row r="88" spans="1:7" ht="14.45" customHeight="1" x14ac:dyDescent="0.25">
      <c r="A88" s="77">
        <v>46118</v>
      </c>
      <c r="B88" s="9">
        <v>52</v>
      </c>
      <c r="C88" s="3" t="s">
        <v>336</v>
      </c>
      <c r="D88" s="3" t="s">
        <v>16</v>
      </c>
      <c r="E88" s="76">
        <v>46119</v>
      </c>
      <c r="F88" s="3">
        <v>63</v>
      </c>
      <c r="G88" t="s">
        <v>129</v>
      </c>
    </row>
    <row r="89" spans="1:7" ht="14.45" customHeight="1" x14ac:dyDescent="0.25">
      <c r="A89" s="77">
        <v>46118</v>
      </c>
      <c r="B89" s="9">
        <v>80</v>
      </c>
      <c r="C89" s="3" t="s">
        <v>353</v>
      </c>
      <c r="D89" s="3" t="s">
        <v>6</v>
      </c>
      <c r="E89" s="76">
        <v>46118</v>
      </c>
      <c r="F89" s="3">
        <v>65</v>
      </c>
      <c r="G89" t="s">
        <v>129</v>
      </c>
    </row>
    <row r="90" spans="1:7" ht="14.45" customHeight="1" x14ac:dyDescent="0.25"/>
    <row r="91" spans="1:7" ht="14.45" customHeight="1" x14ac:dyDescent="0.25">
      <c r="B91" s="157" t="s">
        <v>442</v>
      </c>
      <c r="C91" s="157"/>
      <c r="D91" s="157"/>
      <c r="E91" s="157"/>
      <c r="F91" s="157"/>
    </row>
    <row r="92" spans="1:7" ht="14.45" customHeight="1" x14ac:dyDescent="0.25">
      <c r="B92" s="10" t="s">
        <v>0</v>
      </c>
      <c r="C92" s="69" t="s">
        <v>1</v>
      </c>
      <c r="D92" s="10" t="s">
        <v>128</v>
      </c>
      <c r="E92" s="10" t="s">
        <v>120</v>
      </c>
      <c r="F92" s="17" t="s">
        <v>2</v>
      </c>
    </row>
    <row r="93" spans="1:7" ht="14.45" customHeight="1" x14ac:dyDescent="0.25">
      <c r="A93" s="77">
        <v>46127</v>
      </c>
      <c r="B93" s="9">
        <v>66</v>
      </c>
      <c r="C93" s="3" t="s">
        <v>273</v>
      </c>
      <c r="D93" s="3" t="s">
        <v>6</v>
      </c>
      <c r="E93" s="76">
        <v>46126</v>
      </c>
      <c r="F93" s="3">
        <v>65</v>
      </c>
      <c r="G93" t="s">
        <v>14</v>
      </c>
    </row>
    <row r="94" spans="1:7" ht="14.45" customHeight="1" x14ac:dyDescent="0.25"/>
    <row r="95" spans="1:7" ht="14.45" customHeight="1" x14ac:dyDescent="0.25"/>
    <row r="96" spans="1:7" ht="14.45" customHeight="1" x14ac:dyDescent="0.25"/>
    <row r="97" ht="14.45" customHeight="1" x14ac:dyDescent="0.25"/>
    <row r="98" ht="14.45" customHeight="1" x14ac:dyDescent="0.25"/>
    <row r="99" ht="14.45" customHeight="1" x14ac:dyDescent="0.25"/>
    <row r="100" ht="14.45" customHeight="1" x14ac:dyDescent="0.25"/>
    <row r="101" ht="14.45" customHeight="1" x14ac:dyDescent="0.25"/>
    <row r="102" ht="14.45" customHeight="1" x14ac:dyDescent="0.25"/>
    <row r="103" ht="14.45" customHeight="1" x14ac:dyDescent="0.25"/>
    <row r="104" ht="14.45" customHeight="1" x14ac:dyDescent="0.25"/>
    <row r="105" ht="14.45" customHeight="1" x14ac:dyDescent="0.25"/>
    <row r="106" ht="14.45" customHeight="1" x14ac:dyDescent="0.25"/>
    <row r="107" ht="14.45" customHeight="1" x14ac:dyDescent="0.25"/>
    <row r="108" ht="14.45" customHeight="1" x14ac:dyDescent="0.25"/>
    <row r="109" ht="14.45" customHeight="1" x14ac:dyDescent="0.25"/>
    <row r="110" ht="14.45" customHeight="1" x14ac:dyDescent="0.25"/>
    <row r="111" ht="14.45" customHeight="1" x14ac:dyDescent="0.25"/>
  </sheetData>
  <mergeCells count="15">
    <mergeCell ref="B20:F20"/>
    <mergeCell ref="B48:F48"/>
    <mergeCell ref="B1:F1"/>
    <mergeCell ref="B5:F5"/>
    <mergeCell ref="B9:F9"/>
    <mergeCell ref="B13:F13"/>
    <mergeCell ref="B44:F44"/>
    <mergeCell ref="B39:F39"/>
    <mergeCell ref="B27:F27"/>
    <mergeCell ref="B35:F35"/>
    <mergeCell ref="B91:F91"/>
    <mergeCell ref="B80:F80"/>
    <mergeCell ref="B86:F86"/>
    <mergeCell ref="B70:F70"/>
    <mergeCell ref="B54:F54"/>
  </mergeCells>
  <conditionalFormatting sqref="C22:C24">
    <cfRule type="duplicateValues" dxfId="16" priority="17"/>
  </conditionalFormatting>
  <conditionalFormatting sqref="C25">
    <cfRule type="duplicateValues" dxfId="15" priority="16"/>
  </conditionalFormatting>
  <conditionalFormatting sqref="C29:C30">
    <cfRule type="duplicateValues" dxfId="14" priority="15"/>
  </conditionalFormatting>
  <conditionalFormatting sqref="C31:C33">
    <cfRule type="duplicateValues" dxfId="13" priority="14"/>
  </conditionalFormatting>
  <conditionalFormatting sqref="C37">
    <cfRule type="duplicateValues" dxfId="12" priority="13"/>
  </conditionalFormatting>
  <conditionalFormatting sqref="C41">
    <cfRule type="duplicateValues" dxfId="11" priority="12"/>
  </conditionalFormatting>
  <conditionalFormatting sqref="C42">
    <cfRule type="duplicateValues" dxfId="10" priority="11"/>
  </conditionalFormatting>
  <conditionalFormatting sqref="C46">
    <cfRule type="duplicateValues" dxfId="9" priority="10"/>
  </conditionalFormatting>
  <conditionalFormatting sqref="C49:C52">
    <cfRule type="duplicateValues" dxfId="8" priority="9"/>
  </conditionalFormatting>
  <conditionalFormatting sqref="C56:C66">
    <cfRule type="duplicateValues" dxfId="7" priority="8"/>
  </conditionalFormatting>
  <conditionalFormatting sqref="C67:C68">
    <cfRule type="duplicateValues" dxfId="6" priority="7"/>
  </conditionalFormatting>
  <conditionalFormatting sqref="C72:C75">
    <cfRule type="duplicateValues" dxfId="5" priority="6"/>
  </conditionalFormatting>
  <conditionalFormatting sqref="C76:C78">
    <cfRule type="duplicateValues" dxfId="4" priority="5"/>
  </conditionalFormatting>
  <conditionalFormatting sqref="C82">
    <cfRule type="duplicateValues" dxfId="3" priority="4"/>
  </conditionalFormatting>
  <conditionalFormatting sqref="C83:C84">
    <cfRule type="duplicateValues" dxfId="2" priority="3"/>
  </conditionalFormatting>
  <conditionalFormatting sqref="C88:C89">
    <cfRule type="duplicateValues" dxfId="1" priority="2"/>
  </conditionalFormatting>
  <conditionalFormatting sqref="C93">
    <cfRule type="duplicateValues" dxfId="0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948DA-B99C-42AD-A3D7-3610C47AA37B}">
  <sheetPr>
    <pageSetUpPr fitToPage="1"/>
  </sheetPr>
  <dimension ref="A1:R36"/>
  <sheetViews>
    <sheetView zoomScale="85" zoomScaleNormal="85" workbookViewId="0">
      <selection activeCell="J35" sqref="J35"/>
    </sheetView>
  </sheetViews>
  <sheetFormatPr baseColWidth="10" defaultColWidth="11.42578125" defaultRowHeight="15" x14ac:dyDescent="0.25"/>
  <cols>
    <col min="1" max="6" width="11.42578125" style="1"/>
    <col min="7" max="7" width="13.7109375" style="1" customWidth="1"/>
    <col min="8" max="12" width="11.42578125" style="1"/>
    <col min="13" max="13" width="11.7109375" style="1" customWidth="1"/>
    <col min="14" max="14" width="15.140625" style="1" customWidth="1"/>
    <col min="15" max="15" width="12.5703125" style="1" customWidth="1"/>
    <col min="16" max="16" width="11.42578125" style="1"/>
    <col min="17" max="17" width="14.42578125" style="1" customWidth="1"/>
    <col min="18" max="16384" width="11.42578125" style="1"/>
  </cols>
  <sheetData>
    <row r="1" spans="1:18" x14ac:dyDescent="0.25">
      <c r="C1" s="7"/>
      <c r="D1" s="7"/>
      <c r="E1" s="7"/>
      <c r="G1" s="4"/>
      <c r="H1" s="4"/>
      <c r="I1" s="4"/>
      <c r="J1" s="4"/>
      <c r="K1" s="4"/>
      <c r="L1" s="4"/>
    </row>
    <row r="2" spans="1:18" x14ac:dyDescent="0.25">
      <c r="A2" s="3"/>
      <c r="B2" s="56"/>
      <c r="C2" s="102">
        <v>0.29166666666666669</v>
      </c>
      <c r="D2" s="102">
        <v>0.41666666666666669</v>
      </c>
      <c r="E2" s="102">
        <v>0.54166666666666663</v>
      </c>
      <c r="G2" s="9" t="s">
        <v>3</v>
      </c>
      <c r="H2" s="9" t="s">
        <v>0</v>
      </c>
      <c r="I2" s="9" t="s">
        <v>50</v>
      </c>
      <c r="J2" s="9" t="s">
        <v>51</v>
      </c>
      <c r="K2" s="9" t="s">
        <v>39</v>
      </c>
      <c r="L2" s="9" t="s">
        <v>51</v>
      </c>
      <c r="R2"/>
    </row>
    <row r="3" spans="1:18" x14ac:dyDescent="0.25">
      <c r="A3" s="3"/>
      <c r="B3" s="3" t="s">
        <v>50</v>
      </c>
      <c r="C3" s="3" t="s">
        <v>51</v>
      </c>
      <c r="D3" s="3" t="s">
        <v>39</v>
      </c>
      <c r="E3" s="3" t="s">
        <v>51</v>
      </c>
      <c r="G3" s="8">
        <v>46122</v>
      </c>
      <c r="H3" s="3">
        <v>104</v>
      </c>
      <c r="I3" s="3">
        <v>150</v>
      </c>
      <c r="J3" s="65">
        <f t="shared" ref="J3:J6" si="0">I3*0.31</f>
        <v>46.5</v>
      </c>
      <c r="K3" s="66">
        <f t="shared" ref="K3:K6" si="1">I3*0.34</f>
        <v>51.000000000000007</v>
      </c>
      <c r="L3" s="66">
        <f t="shared" ref="L3:L6" si="2">I3*0.35</f>
        <v>52.5</v>
      </c>
      <c r="M3" s="1">
        <f t="shared" ref="M3:M9" ca="1" si="3">TODAY()-G3</f>
        <v>18</v>
      </c>
    </row>
    <row r="4" spans="1:18" x14ac:dyDescent="0.25">
      <c r="A4" s="3">
        <v>1</v>
      </c>
      <c r="B4" s="3">
        <v>100</v>
      </c>
      <c r="C4" s="65">
        <f>B4*0.5</f>
        <v>50</v>
      </c>
      <c r="D4" s="66">
        <f>B4*0.15</f>
        <v>15</v>
      </c>
      <c r="E4" s="65">
        <f>B4*0.35</f>
        <v>35</v>
      </c>
      <c r="G4" s="8">
        <v>46122</v>
      </c>
      <c r="H4" s="3">
        <v>37</v>
      </c>
      <c r="I4" s="3">
        <v>230</v>
      </c>
      <c r="J4" s="65">
        <f t="shared" si="0"/>
        <v>71.3</v>
      </c>
      <c r="K4" s="66">
        <f t="shared" si="1"/>
        <v>78.2</v>
      </c>
      <c r="L4" s="66">
        <f t="shared" si="2"/>
        <v>80.5</v>
      </c>
      <c r="M4" s="1">
        <f t="shared" ca="1" si="3"/>
        <v>18</v>
      </c>
    </row>
    <row r="5" spans="1:18" x14ac:dyDescent="0.25">
      <c r="A5" s="3">
        <v>2</v>
      </c>
      <c r="B5" s="3">
        <v>100</v>
      </c>
      <c r="C5" s="65">
        <f>B5*0.5</f>
        <v>50</v>
      </c>
      <c r="D5" s="66">
        <f>B5*0.15</f>
        <v>15</v>
      </c>
      <c r="E5" s="65">
        <f>B5*0.35</f>
        <v>35</v>
      </c>
      <c r="G5" s="8">
        <v>46122</v>
      </c>
      <c r="H5" s="3">
        <v>73</v>
      </c>
      <c r="I5" s="3">
        <v>830</v>
      </c>
      <c r="J5" s="65">
        <f t="shared" si="0"/>
        <v>257.3</v>
      </c>
      <c r="K5" s="66">
        <f t="shared" si="1"/>
        <v>282.20000000000005</v>
      </c>
      <c r="L5" s="66">
        <f t="shared" si="2"/>
        <v>290.5</v>
      </c>
      <c r="M5" s="1">
        <f t="shared" ca="1" si="3"/>
        <v>18</v>
      </c>
    </row>
    <row r="6" spans="1:18" x14ac:dyDescent="0.25">
      <c r="A6" s="3">
        <v>3</v>
      </c>
      <c r="B6" s="3">
        <v>120</v>
      </c>
      <c r="C6" s="65">
        <f>B6*0.42</f>
        <v>50.4</v>
      </c>
      <c r="D6" s="66">
        <f>B6*0.28</f>
        <v>33.6</v>
      </c>
      <c r="E6" s="65">
        <f>B6*0.3</f>
        <v>36</v>
      </c>
      <c r="G6" s="8">
        <v>46122</v>
      </c>
      <c r="H6" s="3">
        <v>74</v>
      </c>
      <c r="I6" s="3">
        <v>480</v>
      </c>
      <c r="J6" s="65">
        <f t="shared" si="0"/>
        <v>148.80000000000001</v>
      </c>
      <c r="K6" s="66">
        <f t="shared" si="1"/>
        <v>163.20000000000002</v>
      </c>
      <c r="L6" s="66">
        <f t="shared" si="2"/>
        <v>168</v>
      </c>
      <c r="M6" s="1">
        <f t="shared" ca="1" si="3"/>
        <v>18</v>
      </c>
      <c r="N6" s="7"/>
    </row>
    <row r="7" spans="1:18" x14ac:dyDescent="0.25">
      <c r="A7" s="3">
        <v>4</v>
      </c>
      <c r="B7" s="3">
        <v>120</v>
      </c>
      <c r="C7" s="65">
        <f>B7*0.42</f>
        <v>50.4</v>
      </c>
      <c r="D7" s="66">
        <f>B7*0.28</f>
        <v>33.6</v>
      </c>
      <c r="E7" s="65">
        <f>B7*0.3</f>
        <v>36</v>
      </c>
      <c r="G7" s="8">
        <v>46128</v>
      </c>
      <c r="H7" s="40">
        <v>54</v>
      </c>
      <c r="I7" s="3">
        <v>680</v>
      </c>
      <c r="J7" s="65">
        <f>I7*0.4</f>
        <v>272</v>
      </c>
      <c r="K7" s="66">
        <f>I7*0.34</f>
        <v>231.20000000000002</v>
      </c>
      <c r="L7" s="65">
        <f>I7*0.26</f>
        <v>176.8</v>
      </c>
      <c r="M7" s="1">
        <f t="shared" ca="1" si="3"/>
        <v>12</v>
      </c>
    </row>
    <row r="8" spans="1:18" x14ac:dyDescent="0.25">
      <c r="A8" s="3">
        <v>5</v>
      </c>
      <c r="B8" s="3">
        <v>100</v>
      </c>
      <c r="C8" s="65">
        <f>B8*0.4</f>
        <v>40</v>
      </c>
      <c r="D8" s="66">
        <f>B8*0.34</f>
        <v>34</v>
      </c>
      <c r="E8" s="65">
        <f>B8*0.26</f>
        <v>26</v>
      </c>
      <c r="G8" s="8">
        <v>46128</v>
      </c>
      <c r="H8" s="3">
        <v>101</v>
      </c>
      <c r="I8" s="3">
        <v>490</v>
      </c>
      <c r="J8" s="65">
        <f>I8*0.4</f>
        <v>196</v>
      </c>
      <c r="K8" s="66">
        <f>I8*0.34</f>
        <v>166.60000000000002</v>
      </c>
      <c r="L8" s="65">
        <f>I8*0.26</f>
        <v>127.4</v>
      </c>
      <c r="M8" s="1">
        <f t="shared" ca="1" si="3"/>
        <v>12</v>
      </c>
    </row>
    <row r="9" spans="1:18" x14ac:dyDescent="0.25">
      <c r="A9" s="3">
        <v>6</v>
      </c>
      <c r="B9" s="3">
        <v>100</v>
      </c>
      <c r="C9" s="65">
        <f>B9*0.4</f>
        <v>40</v>
      </c>
      <c r="D9" s="66">
        <f>B9*0.34</f>
        <v>34</v>
      </c>
      <c r="E9" s="65">
        <f>B9*0.26</f>
        <v>26</v>
      </c>
      <c r="G9" s="8">
        <v>46128</v>
      </c>
      <c r="H9" s="3">
        <v>102</v>
      </c>
      <c r="I9" s="3">
        <v>420</v>
      </c>
      <c r="J9" s="65">
        <f>I9*0.4</f>
        <v>168</v>
      </c>
      <c r="K9" s="66">
        <f>I9*0.34</f>
        <v>142.80000000000001</v>
      </c>
      <c r="L9" s="65">
        <f>I9*0.26</f>
        <v>109.2</v>
      </c>
      <c r="M9" s="1">
        <f t="shared" ca="1" si="3"/>
        <v>12</v>
      </c>
    </row>
    <row r="10" spans="1:18" x14ac:dyDescent="0.25">
      <c r="A10" s="3">
        <v>7</v>
      </c>
      <c r="B10" s="3">
        <v>100</v>
      </c>
      <c r="C10" s="65">
        <f>B10*0.33</f>
        <v>33</v>
      </c>
      <c r="D10" s="66">
        <f>B10*0.45</f>
        <v>45</v>
      </c>
      <c r="E10" s="65">
        <f>B10*0.22</f>
        <v>22</v>
      </c>
      <c r="J10" s="7"/>
      <c r="K10" s="7"/>
      <c r="L10" s="7"/>
    </row>
    <row r="11" spans="1:18" x14ac:dyDescent="0.25">
      <c r="A11" s="3">
        <v>8</v>
      </c>
      <c r="B11" s="3">
        <v>100</v>
      </c>
      <c r="C11" s="65">
        <f>B11*0.42</f>
        <v>42</v>
      </c>
      <c r="D11" s="66">
        <f>B11*0.29</f>
        <v>28.999999999999996</v>
      </c>
      <c r="E11" s="66">
        <f>B11*0.29</f>
        <v>28.999999999999996</v>
      </c>
      <c r="N11" s="16"/>
    </row>
    <row r="12" spans="1:18" x14ac:dyDescent="0.25">
      <c r="A12" s="3">
        <v>9</v>
      </c>
      <c r="B12" s="3">
        <v>100</v>
      </c>
      <c r="C12" s="65">
        <f>B12*0.42</f>
        <v>42</v>
      </c>
      <c r="D12" s="66">
        <f>B12*0.29</f>
        <v>28.999999999999996</v>
      </c>
      <c r="E12" s="66">
        <f>B12*0.29</f>
        <v>28.999999999999996</v>
      </c>
    </row>
    <row r="13" spans="1:18" x14ac:dyDescent="0.25">
      <c r="A13" s="3">
        <v>10</v>
      </c>
      <c r="B13" s="3">
        <v>100</v>
      </c>
      <c r="C13" s="65">
        <f>B13*0.42</f>
        <v>42</v>
      </c>
      <c r="D13" s="66">
        <f>B13*0.29</f>
        <v>28.999999999999996</v>
      </c>
      <c r="E13" s="66">
        <f>B13*0.29</f>
        <v>28.999999999999996</v>
      </c>
      <c r="G13" s="9" t="s">
        <v>3</v>
      </c>
      <c r="H13" s="9" t="s">
        <v>0</v>
      </c>
      <c r="I13" s="9" t="s">
        <v>50</v>
      </c>
      <c r="J13" s="9" t="s">
        <v>51</v>
      </c>
      <c r="K13" s="9" t="s">
        <v>39</v>
      </c>
      <c r="L13" s="9" t="s">
        <v>51</v>
      </c>
    </row>
    <row r="14" spans="1:18" x14ac:dyDescent="0.25">
      <c r="A14" s="3">
        <v>11</v>
      </c>
      <c r="B14" s="3">
        <v>100</v>
      </c>
      <c r="C14" s="65">
        <f>B14*0.31</f>
        <v>31</v>
      </c>
      <c r="D14" s="66">
        <f>B14*0.34</f>
        <v>34</v>
      </c>
      <c r="E14" s="66">
        <f>B14*0.35</f>
        <v>35</v>
      </c>
      <c r="G14" s="8">
        <v>46122</v>
      </c>
      <c r="H14" s="3">
        <v>104</v>
      </c>
      <c r="I14" s="3">
        <v>150</v>
      </c>
      <c r="J14" s="65">
        <f t="shared" ref="J14:J17" si="4">I14*0.31</f>
        <v>46.5</v>
      </c>
      <c r="K14" s="66">
        <f t="shared" ref="K14:K17" si="5">I14*0.34</f>
        <v>51.000000000000007</v>
      </c>
      <c r="L14" s="66">
        <f t="shared" ref="L14:L17" si="6">I14*0.35</f>
        <v>52.5</v>
      </c>
      <c r="M14" s="1">
        <f t="shared" ref="M14:M20" ca="1" si="7">TODAY()-G14</f>
        <v>18</v>
      </c>
    </row>
    <row r="15" spans="1:18" x14ac:dyDescent="0.25">
      <c r="A15" s="3">
        <v>12</v>
      </c>
      <c r="B15" s="3">
        <v>100</v>
      </c>
      <c r="C15" s="65">
        <f>B15*0.31</f>
        <v>31</v>
      </c>
      <c r="D15" s="66">
        <f>B15*0.34</f>
        <v>34</v>
      </c>
      <c r="E15" s="66">
        <f>B15*0.35</f>
        <v>35</v>
      </c>
      <c r="G15" s="8">
        <v>46122</v>
      </c>
      <c r="H15" s="3">
        <v>37</v>
      </c>
      <c r="I15" s="3">
        <v>230</v>
      </c>
      <c r="J15" s="65">
        <f t="shared" si="4"/>
        <v>71.3</v>
      </c>
      <c r="K15" s="66">
        <f t="shared" si="5"/>
        <v>78.2</v>
      </c>
      <c r="L15" s="66">
        <f t="shared" si="6"/>
        <v>80.5</v>
      </c>
      <c r="M15" s="1">
        <f t="shared" ca="1" si="7"/>
        <v>18</v>
      </c>
    </row>
    <row r="16" spans="1:18" x14ac:dyDescent="0.25">
      <c r="A16" s="3">
        <v>13</v>
      </c>
      <c r="B16" s="3">
        <v>100</v>
      </c>
      <c r="C16" s="65">
        <f>B16*0.2</f>
        <v>20</v>
      </c>
      <c r="D16" s="66">
        <f>B16*0.4</f>
        <v>40</v>
      </c>
      <c r="E16" s="66">
        <f>B16*0.4</f>
        <v>40</v>
      </c>
      <c r="G16" s="8">
        <v>46122</v>
      </c>
      <c r="H16" s="3">
        <v>73</v>
      </c>
      <c r="I16" s="3">
        <v>830</v>
      </c>
      <c r="J16" s="65">
        <f t="shared" si="4"/>
        <v>257.3</v>
      </c>
      <c r="K16" s="66">
        <f t="shared" si="5"/>
        <v>282.20000000000005</v>
      </c>
      <c r="L16" s="66">
        <f t="shared" si="6"/>
        <v>290.5</v>
      </c>
      <c r="M16" s="1">
        <f t="shared" ca="1" si="7"/>
        <v>18</v>
      </c>
    </row>
    <row r="17" spans="1:13" x14ac:dyDescent="0.25">
      <c r="A17" s="3">
        <v>14</v>
      </c>
      <c r="B17" s="3">
        <v>100</v>
      </c>
      <c r="C17" s="65">
        <f>B17*0.2</f>
        <v>20</v>
      </c>
      <c r="D17" s="66">
        <f>B17*0.4</f>
        <v>40</v>
      </c>
      <c r="E17" s="66">
        <f>B17*0.4</f>
        <v>40</v>
      </c>
      <c r="G17" s="8">
        <v>46122</v>
      </c>
      <c r="H17" s="3">
        <v>74</v>
      </c>
      <c r="I17" s="3">
        <v>480</v>
      </c>
      <c r="J17" s="65">
        <f t="shared" si="4"/>
        <v>148.80000000000001</v>
      </c>
      <c r="K17" s="66">
        <f t="shared" si="5"/>
        <v>163.20000000000002</v>
      </c>
      <c r="L17" s="66">
        <f t="shared" si="6"/>
        <v>168</v>
      </c>
      <c r="M17" s="1">
        <f t="shared" ca="1" si="7"/>
        <v>18</v>
      </c>
    </row>
    <row r="18" spans="1:13" x14ac:dyDescent="0.25">
      <c r="G18" s="8">
        <v>46128</v>
      </c>
      <c r="H18" s="40">
        <v>54</v>
      </c>
      <c r="I18" s="3">
        <v>680</v>
      </c>
      <c r="J18" s="65">
        <f>I18*0.4</f>
        <v>272</v>
      </c>
      <c r="K18" s="66">
        <f>I18*0.34</f>
        <v>231.20000000000002</v>
      </c>
      <c r="L18" s="65">
        <f>I18*0.26</f>
        <v>176.8</v>
      </c>
      <c r="M18" s="1">
        <f t="shared" ca="1" si="7"/>
        <v>12</v>
      </c>
    </row>
    <row r="19" spans="1:13" x14ac:dyDescent="0.25">
      <c r="G19" s="8">
        <v>46128</v>
      </c>
      <c r="H19" s="3">
        <v>101</v>
      </c>
      <c r="I19" s="3">
        <v>490</v>
      </c>
      <c r="J19" s="65">
        <f>I19*0.4</f>
        <v>196</v>
      </c>
      <c r="K19" s="66">
        <f>I19*0.34</f>
        <v>166.60000000000002</v>
      </c>
      <c r="L19" s="65">
        <f>I19*0.26</f>
        <v>127.4</v>
      </c>
      <c r="M19" s="1">
        <f t="shared" ca="1" si="7"/>
        <v>12</v>
      </c>
    </row>
    <row r="20" spans="1:13" x14ac:dyDescent="0.25">
      <c r="G20" s="8">
        <v>46128</v>
      </c>
      <c r="H20" s="3">
        <v>102</v>
      </c>
      <c r="I20" s="3">
        <v>420</v>
      </c>
      <c r="J20" s="65">
        <f>I20*0.4</f>
        <v>168</v>
      </c>
      <c r="K20" s="66">
        <f>I20*0.34</f>
        <v>142.80000000000001</v>
      </c>
      <c r="L20" s="65">
        <f>I20*0.26</f>
        <v>109.2</v>
      </c>
      <c r="M20" s="1">
        <f t="shared" ca="1" si="7"/>
        <v>12</v>
      </c>
    </row>
    <row r="24" spans="1:13" ht="17.25" x14ac:dyDescent="0.25">
      <c r="A24" s="103" t="s">
        <v>145</v>
      </c>
      <c r="B24" s="103"/>
      <c r="C24" s="103"/>
      <c r="D24" s="103"/>
      <c r="E24" s="103"/>
      <c r="F24" s="90"/>
    </row>
    <row r="25" spans="1:13" ht="17.25" x14ac:dyDescent="0.25">
      <c r="A25" s="103"/>
      <c r="B25" s="103"/>
      <c r="C25" s="103"/>
      <c r="D25" s="103"/>
      <c r="E25" s="103"/>
      <c r="F25" s="90"/>
    </row>
    <row r="26" spans="1:13" x14ac:dyDescent="0.25">
      <c r="A26" s="3"/>
      <c r="B26" s="56"/>
      <c r="C26" s="102">
        <v>0.29166666666666669</v>
      </c>
      <c r="D26" s="102">
        <v>0.41666666666666669</v>
      </c>
      <c r="E26" s="102">
        <v>0.54166666666666663</v>
      </c>
    </row>
    <row r="27" spans="1:13" x14ac:dyDescent="0.25">
      <c r="A27" s="3"/>
      <c r="B27" s="3" t="s">
        <v>50</v>
      </c>
      <c r="C27" s="3" t="s">
        <v>51</v>
      </c>
      <c r="D27" s="3" t="s">
        <v>39</v>
      </c>
      <c r="E27" s="3" t="s">
        <v>51</v>
      </c>
    </row>
    <row r="28" spans="1:13" x14ac:dyDescent="0.25">
      <c r="A28" s="3">
        <v>1</v>
      </c>
      <c r="B28" s="3">
        <v>100</v>
      </c>
      <c r="C28" s="65">
        <f>B28*0.5</f>
        <v>50</v>
      </c>
      <c r="D28" s="66">
        <f>B28*0.15</f>
        <v>15</v>
      </c>
      <c r="E28" s="65">
        <f>B28*0.35</f>
        <v>35</v>
      </c>
    </row>
    <row r="29" spans="1:13" x14ac:dyDescent="0.25">
      <c r="A29" s="3">
        <v>2</v>
      </c>
      <c r="B29" s="3">
        <v>100</v>
      </c>
      <c r="C29" s="65">
        <f>B29*0.3</f>
        <v>30</v>
      </c>
      <c r="D29" s="66">
        <f>B29*0.25</f>
        <v>25</v>
      </c>
      <c r="E29" s="65">
        <f>B29*0.45</f>
        <v>45</v>
      </c>
    </row>
    <row r="30" spans="1:13" x14ac:dyDescent="0.25">
      <c r="A30" s="3">
        <v>3</v>
      </c>
      <c r="B30" s="3">
        <v>100</v>
      </c>
      <c r="C30" s="65">
        <f>B30*0.3</f>
        <v>30</v>
      </c>
      <c r="D30" s="66">
        <f>B30*0.25</f>
        <v>25</v>
      </c>
      <c r="E30" s="65">
        <f>B30*0.45</f>
        <v>45</v>
      </c>
    </row>
    <row r="31" spans="1:13" ht="14.45" customHeight="1" x14ac:dyDescent="0.25">
      <c r="A31" s="3">
        <v>4</v>
      </c>
      <c r="B31" s="3">
        <v>100</v>
      </c>
      <c r="C31" s="65">
        <f t="shared" ref="C31:C36" si="8">B31*0.2</f>
        <v>20</v>
      </c>
      <c r="D31" s="66">
        <f>B31*0.4</f>
        <v>40</v>
      </c>
      <c r="E31" s="65">
        <f>B31*0.4</f>
        <v>40</v>
      </c>
    </row>
    <row r="32" spans="1:13" ht="14.45" customHeight="1" x14ac:dyDescent="0.25">
      <c r="A32" s="3">
        <v>5</v>
      </c>
      <c r="B32" s="3">
        <v>100</v>
      </c>
      <c r="C32" s="65">
        <f t="shared" si="8"/>
        <v>20</v>
      </c>
      <c r="D32" s="66">
        <f>B32*0.4</f>
        <v>40</v>
      </c>
      <c r="E32" s="65">
        <f>B32*0.4</f>
        <v>40</v>
      </c>
    </row>
    <row r="33" spans="1:5" x14ac:dyDescent="0.25">
      <c r="A33" s="3">
        <v>6</v>
      </c>
      <c r="B33" s="3">
        <v>100</v>
      </c>
      <c r="C33" s="65">
        <f t="shared" si="8"/>
        <v>20</v>
      </c>
      <c r="D33" s="66">
        <f>B33*0.6</f>
        <v>60</v>
      </c>
      <c r="E33" s="65">
        <f>B33*0.2</f>
        <v>20</v>
      </c>
    </row>
    <row r="34" spans="1:5" x14ac:dyDescent="0.25">
      <c r="A34" s="3">
        <v>7</v>
      </c>
      <c r="B34" s="3">
        <v>100</v>
      </c>
      <c r="C34" s="65">
        <f t="shared" si="8"/>
        <v>20</v>
      </c>
      <c r="D34" s="66">
        <f>B34*0.6</f>
        <v>60</v>
      </c>
      <c r="E34" s="65">
        <f>B34*0.2</f>
        <v>20</v>
      </c>
    </row>
    <row r="35" spans="1:5" x14ac:dyDescent="0.25">
      <c r="A35" s="3">
        <v>8</v>
      </c>
      <c r="B35" s="3">
        <v>100</v>
      </c>
      <c r="C35" s="65">
        <f t="shared" si="8"/>
        <v>20</v>
      </c>
      <c r="D35" s="66">
        <f>B35*0.7</f>
        <v>70</v>
      </c>
      <c r="E35" s="66">
        <f>B35*0.1</f>
        <v>10</v>
      </c>
    </row>
    <row r="36" spans="1:5" x14ac:dyDescent="0.25">
      <c r="A36" s="3">
        <v>9</v>
      </c>
      <c r="B36" s="3">
        <v>100</v>
      </c>
      <c r="C36" s="65">
        <f t="shared" si="8"/>
        <v>20</v>
      </c>
      <c r="D36" s="66">
        <f>B36*0.7</f>
        <v>70</v>
      </c>
      <c r="E36" s="66">
        <f>B36*0.1</f>
        <v>10</v>
      </c>
    </row>
  </sheetData>
  <pageMargins left="0.7" right="0.7" top="0.75" bottom="0.75" header="0.3" footer="0.3"/>
  <pageSetup paperSize="9" scale="58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02C35-2B75-4183-95F2-15117BCB685A}">
  <dimension ref="A1:G25"/>
  <sheetViews>
    <sheetView workbookViewId="0">
      <selection activeCell="C20" sqref="C20"/>
    </sheetView>
  </sheetViews>
  <sheetFormatPr baseColWidth="10" defaultRowHeight="15" x14ac:dyDescent="0.25"/>
  <cols>
    <col min="1" max="1" width="16.28515625" customWidth="1"/>
    <col min="2" max="2" width="12.5703125" customWidth="1"/>
    <col min="3" max="3" width="16.28515625" customWidth="1"/>
  </cols>
  <sheetData>
    <row r="1" spans="1:7" x14ac:dyDescent="0.25">
      <c r="A1" s="163" t="s">
        <v>81</v>
      </c>
      <c r="B1" s="163"/>
      <c r="C1" s="163"/>
      <c r="D1" s="63">
        <f ca="1">TODAY()</f>
        <v>46140</v>
      </c>
    </row>
    <row r="2" spans="1:7" x14ac:dyDescent="0.25">
      <c r="D2" s="5"/>
    </row>
    <row r="3" spans="1:7" x14ac:dyDescent="0.25">
      <c r="A3" s="164" t="s">
        <v>40</v>
      </c>
      <c r="B3" s="165"/>
      <c r="C3" s="166"/>
      <c r="D3" s="57">
        <f>DISPONIBILIDAD!D119</f>
        <v>4180</v>
      </c>
    </row>
    <row r="6" spans="1:7" x14ac:dyDescent="0.25">
      <c r="A6" s="157" t="s">
        <v>194</v>
      </c>
      <c r="B6" s="157"/>
      <c r="C6" s="157"/>
      <c r="D6" s="157"/>
    </row>
    <row r="7" spans="1:7" ht="30" x14ac:dyDescent="0.25">
      <c r="A7" s="10" t="s">
        <v>193</v>
      </c>
      <c r="B7" s="10" t="s">
        <v>1</v>
      </c>
      <c r="C7" s="10" t="s">
        <v>128</v>
      </c>
      <c r="D7" s="44" t="s">
        <v>2</v>
      </c>
      <c r="F7" s="26"/>
      <c r="G7" s="5"/>
    </row>
    <row r="8" spans="1:7" x14ac:dyDescent="0.25">
      <c r="A8" s="9" t="s">
        <v>52</v>
      </c>
      <c r="B8" s="3" t="s">
        <v>335</v>
      </c>
      <c r="C8" s="3" t="s">
        <v>6</v>
      </c>
      <c r="D8" s="28">
        <v>97</v>
      </c>
      <c r="F8" s="5"/>
      <c r="G8" s="5"/>
    </row>
    <row r="9" spans="1:7" x14ac:dyDescent="0.25">
      <c r="A9" s="9" t="s">
        <v>49</v>
      </c>
      <c r="B9" s="3" t="s">
        <v>290</v>
      </c>
      <c r="C9" s="3" t="s">
        <v>6</v>
      </c>
      <c r="D9" s="28">
        <v>304</v>
      </c>
    </row>
    <row r="10" spans="1:7" x14ac:dyDescent="0.25">
      <c r="A10" s="9" t="s">
        <v>46</v>
      </c>
      <c r="B10" s="3" t="s">
        <v>114</v>
      </c>
      <c r="C10" s="3" t="s">
        <v>6</v>
      </c>
      <c r="D10" s="28">
        <v>688</v>
      </c>
      <c r="F10" s="1"/>
    </row>
    <row r="11" spans="1:7" x14ac:dyDescent="0.25">
      <c r="A11" s="9" t="s">
        <v>208</v>
      </c>
      <c r="B11" s="3" t="s">
        <v>302</v>
      </c>
      <c r="C11" s="3" t="s">
        <v>6</v>
      </c>
      <c r="D11" s="28">
        <f>175-1</f>
        <v>174</v>
      </c>
      <c r="F11" s="1"/>
    </row>
    <row r="12" spans="1:7" x14ac:dyDescent="0.25">
      <c r="A12" s="9" t="s">
        <v>44</v>
      </c>
      <c r="B12" s="3" t="s">
        <v>436</v>
      </c>
      <c r="C12" s="3" t="s">
        <v>6</v>
      </c>
      <c r="D12" s="28">
        <v>559</v>
      </c>
    </row>
    <row r="13" spans="1:7" x14ac:dyDescent="0.25">
      <c r="A13" s="9" t="s">
        <v>48</v>
      </c>
      <c r="B13" s="3" t="s">
        <v>330</v>
      </c>
      <c r="C13" s="3" t="s">
        <v>6</v>
      </c>
      <c r="D13" s="28">
        <v>515</v>
      </c>
      <c r="F13" s="1"/>
    </row>
    <row r="15" spans="1:7" x14ac:dyDescent="0.25">
      <c r="A15" s="167" t="s">
        <v>47</v>
      </c>
      <c r="B15" s="167"/>
      <c r="C15" s="167"/>
      <c r="D15" s="58">
        <f>SUM(D8:D13)</f>
        <v>2337</v>
      </c>
    </row>
    <row r="17" spans="1:4" x14ac:dyDescent="0.25">
      <c r="A17" s="157" t="s">
        <v>195</v>
      </c>
      <c r="B17" s="157"/>
      <c r="C17" s="157"/>
      <c r="D17" s="157"/>
    </row>
    <row r="18" spans="1:4" ht="30" x14ac:dyDescent="0.25">
      <c r="A18" s="10" t="s">
        <v>193</v>
      </c>
      <c r="B18" s="10" t="s">
        <v>145</v>
      </c>
      <c r="C18" s="10" t="s">
        <v>209</v>
      </c>
      <c r="D18" s="44" t="s">
        <v>2</v>
      </c>
    </row>
    <row r="19" spans="1:4" x14ac:dyDescent="0.25">
      <c r="A19" s="9" t="s">
        <v>45</v>
      </c>
      <c r="B19" s="3">
        <f>82-35+38</f>
        <v>85</v>
      </c>
      <c r="C19" s="3">
        <f>36+19-41+9+7</f>
        <v>30</v>
      </c>
      <c r="D19" s="28">
        <f>B19+C19</f>
        <v>115</v>
      </c>
    </row>
    <row r="20" spans="1:4" x14ac:dyDescent="0.25">
      <c r="A20" s="9" t="s">
        <v>196</v>
      </c>
      <c r="B20" s="3">
        <f>134+13+5+11+16+10-34+12+15+11+13-1</f>
        <v>205</v>
      </c>
      <c r="C20" s="3">
        <f>47+7-50+19</f>
        <v>23</v>
      </c>
      <c r="D20" s="28">
        <f>B20+C20</f>
        <v>228</v>
      </c>
    </row>
    <row r="21" spans="1:4" x14ac:dyDescent="0.25">
      <c r="A21" s="9" t="s">
        <v>72</v>
      </c>
      <c r="B21" s="3">
        <f>96-1-2+15</f>
        <v>108</v>
      </c>
      <c r="C21" s="3">
        <v>11</v>
      </c>
      <c r="D21" s="28">
        <f>B21+C21</f>
        <v>119</v>
      </c>
    </row>
    <row r="23" spans="1:4" x14ac:dyDescent="0.25">
      <c r="A23" s="146" t="s">
        <v>47</v>
      </c>
      <c r="B23" s="147"/>
      <c r="C23" s="148"/>
      <c r="D23" s="58">
        <f>SUM(D19:D21)</f>
        <v>462</v>
      </c>
    </row>
    <row r="25" spans="1:4" x14ac:dyDescent="0.25">
      <c r="A25" s="163" t="s">
        <v>197</v>
      </c>
      <c r="B25" s="163"/>
      <c r="C25" s="163"/>
      <c r="D25" s="59">
        <f>D3+D15+D23</f>
        <v>6979</v>
      </c>
    </row>
  </sheetData>
  <mergeCells count="7">
    <mergeCell ref="A25:C25"/>
    <mergeCell ref="A3:C3"/>
    <mergeCell ref="A6:D6"/>
    <mergeCell ref="A17:D17"/>
    <mergeCell ref="A1:C1"/>
    <mergeCell ref="A15:C15"/>
    <mergeCell ref="A23:C23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DISPONIBILIDAD</vt:lpstr>
      <vt:lpstr>PROGRAMA REIMPLANTES</vt:lpstr>
      <vt:lpstr>SALIDAS</vt:lpstr>
      <vt:lpstr>PROYECCION 2026</vt:lpstr>
      <vt:lpstr>REPORTES</vt:lpstr>
      <vt:lpstr>REIMPLANTES</vt:lpstr>
      <vt:lpstr>TRANSICIONES</vt:lpstr>
      <vt:lpstr>INVENTARIO GENERAL</vt:lpstr>
      <vt:lpstr>DISPONIBILIDAD!Área_de_impresión</vt:lpstr>
      <vt:lpstr>DISPONIBILIDAD!Títulos_a_imprimir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chamizalcamperos1@outlook.com</dc:creator>
  <cp:lastModifiedBy>HUGO CAMACHO</cp:lastModifiedBy>
  <cp:lastPrinted>2026-04-21T13:01:09Z</cp:lastPrinted>
  <dcterms:created xsi:type="dcterms:W3CDTF">2024-09-18T18:10:21Z</dcterms:created>
  <dcterms:modified xsi:type="dcterms:W3CDTF">2026-04-29T00:19:51Z</dcterms:modified>
</cp:coreProperties>
</file>